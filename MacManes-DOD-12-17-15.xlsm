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606" codeName="{7A2D7E96-6E34-419A-AE5F-296B3A7E7977}"/>
  <workbookPr codeName="ThisWorkbook"/>
  <mc:AlternateContent xmlns:mc="http://schemas.openxmlformats.org/markup-compatibility/2006">
    <mc:Choice Requires="x15">
      <x15ac:absPath xmlns:x15ac="http://schemas.microsoft.com/office/spreadsheetml/2010/11/ac" url="/Users/macmanes/Documents/Army_2015/"/>
    </mc:Choice>
  </mc:AlternateContent>
  <workbookProtection workbookPassword="E81C" lockStructure="1"/>
  <bookViews>
    <workbookView xWindow="7120" yWindow="1300" windowWidth="19600" windowHeight="14560" tabRatio="64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Lookup'!$A$29:$A$30</definedName>
    <definedName name="AYFacultyBlock">Blocks!$A$4:$O$5</definedName>
    <definedName name="BlocksTitle">Blocks!$A$1</definedName>
    <definedName name="BudItemCol">Sponsor!$D:$D</definedName>
    <definedName name="BudjName">Setup!$B$5</definedName>
    <definedName name="CostShareCopyRange">Sponsor!$B$2:$O$44</definedName>
    <definedName name="CostSharingTitle">'Cost Sharing'!$A$1</definedName>
    <definedName name="CShrBlockEndRow">Blocks!$13:$13</definedName>
    <definedName name="CShrBlockPrdCol">Blocks!$I:$I</definedName>
    <definedName name="CShrBlockRange">Blocks!$A$11:$O$13</definedName>
    <definedName name="CShrBlockStartRow">Blocks!$11:$11</definedName>
    <definedName name="CShrBlockTotPrdCol">Blocks!$L:$L</definedName>
    <definedName name="CstShrShtTotPrdCol">'Cost Sharing'!$K:$K</definedName>
    <definedName name="CstShrShtTotRow">'Cost Sharing'!$47:$47</definedName>
    <definedName name="CYFacultyBlock">Blocks!$A$8:$O$8</definedName>
    <definedName name="Data_Validation">Setup!#REF!</definedName>
    <definedName name="DataLookupTitle">'Data Lookup'!$A$1</definedName>
    <definedName name="DefaultInflationRow">Sponsor!$8:$8</definedName>
    <definedName name="EquipmentRow">Sponsor!$27:$27</definedName>
    <definedName name="FacInflationPct">Sponsor!$B$10</definedName>
    <definedName name="FBRateTypeList">'Data Lookup'!$A$12:$A$15</definedName>
    <definedName name="FFRtRow">Sponsor!$5:$5</definedName>
    <definedName name="IDCBasisList">'Data Lookup'!$A$25:$A$27</definedName>
    <definedName name="IDCRateList">'Data Lookup'!$A$17:$A$23</definedName>
    <definedName name="IDCRtRow">Sponsor!$4:$4</definedName>
    <definedName name="InBaseCol">Sponsor!$N:$N</definedName>
    <definedName name="InBaseList">'Data Lookup'!$A$9:$A$10</definedName>
    <definedName name="InflationEntryCol">Sponsor!$B:$B</definedName>
    <definedName name="InflationModeCol">Sponsor!$A:$A</definedName>
    <definedName name="InflationModeList">'Data Lookup'!$A$3:$A$7</definedName>
    <definedName name="LockStructureList">'Data Lookup'!$A$32:$A$33</definedName>
    <definedName name="NumBudPrds">Setup!$B$18</definedName>
    <definedName name="NumCoPIAY">Setup!$B$19</definedName>
    <definedName name="NumCoPICY">Setup!$B$20</definedName>
    <definedName name="NumFacAY">Setup!$B$21</definedName>
    <definedName name="NumFacCY">Setup!$B$22</definedName>
    <definedName name="OtherExemptRow">Sponsor!$40:$40</definedName>
    <definedName name="PartSupportRow">Sponsor!$38:$38</definedName>
    <definedName name="PDRtRow">Sponsor!$7:$7</definedName>
    <definedName name="PFRtRow">Sponsor!$6:$6</definedName>
    <definedName name="PgmIncomeTitle">'Pgm Income'!$A$1</definedName>
    <definedName name="PgmIncShtTotPrdCol">'Pgm Income'!$H:$H</definedName>
    <definedName name="PgmIncShtTotRow">'Pgm Income'!$44:$44</definedName>
    <definedName name="PIAppt">Setup!$B$9</definedName>
    <definedName name="PIName">Setup!$B$8</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Title">Rates!$A$1</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Setup!$B$14</definedName>
    <definedName name="SetupFlatRate">Setup!$B$12</definedName>
    <definedName name="SetupIDCBasis">Setup!$B$13</definedName>
    <definedName name="SetupLockCell">Setup!$B$24</definedName>
    <definedName name="SetupMaintenanceCell">Setup!$B$26</definedName>
    <definedName name="SetupNegotiatedRate">Setup!$B$11</definedName>
    <definedName name="SetupStartDt">Setup!$B$17</definedName>
    <definedName name="SponCstShrTotRow">Sponsor!$45:$45</definedName>
    <definedName name="SponPgmIncTotRow">Sponsor!$46:$46</definedName>
    <definedName name="SponsorBudgName">Sponsor!$D$1</definedName>
    <definedName name="SponsorTitle">Sponsor!$A$1</definedName>
    <definedName name="StartFacRow">Sponsor!$10:$10</definedName>
    <definedName name="SubAwardsTitle">SubAwards!$A$1</definedName>
    <definedName name="SubIDCList">'Data Lookup'!$A$38:$A$40</definedName>
    <definedName name="SubsApplyIDCRow">Sponsor!$34:$34</definedName>
    <definedName name="SubsDCTotRow">SubAwards!$14:$14</definedName>
    <definedName name="SubsDirectCostStartRow">SubAwards!$3:$3</definedName>
    <definedName name="SubsExemptIDCRow">Sponsor!$35:$35</definedName>
    <definedName name="SubsIDCCapCol">SubAwards!$G:$G</definedName>
    <definedName name="SubsIDCCapRange">SubAwards!$G$4:$G$13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SubAwards!$E:$E</definedName>
    <definedName name="SubTotGrad">Sponsor!$17:$17</definedName>
    <definedName name="SubTotSubs">Sponsor!$36:$36</definedName>
    <definedName name="Title">Sponsor!$A$1</definedName>
    <definedName name="TotDirect">Sponsor!$41:$41</definedName>
    <definedName name="TotFacRow">Sponsor!$13:$13</definedName>
    <definedName name="TotIDC">Sponsor!$43:$43</definedName>
    <definedName name="TotPrdCol">Sponsor!$L:$L</definedName>
    <definedName name="TotProjRow">Sponsor!$47:$47</definedName>
    <definedName name="TotSal">Sponsor!$23:$23</definedName>
    <definedName name="TotSalFB">Sponsor!$25:$25</definedName>
    <definedName name="TotSponsor">Sponsor!$44:$44</definedName>
    <definedName name="TravelRow">Sponsor!$28:$28</definedName>
    <definedName name="TuitionRow">Sponsor!$26:$26</definedName>
    <definedName name="VersionNo">Setup!$A$1</definedName>
    <definedName name="WorkbookMaintenanceList">'Data Lookup'!$A$35:$A$36</definedName>
    <definedName name="ZeroPrdCol">Sponsor!$H:$H</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K16" i="12" l="1"/>
  <c r="H12" i="12"/>
  <c r="I12" i="12"/>
  <c r="J12" i="12"/>
  <c r="K12" i="12"/>
  <c r="K11" i="12"/>
  <c r="J11" i="12"/>
  <c r="H11" i="6"/>
  <c r="B11" i="6"/>
  <c r="I11" i="6"/>
  <c r="H12" i="6"/>
  <c r="B12" i="6"/>
  <c r="I12" i="6"/>
  <c r="I15" i="6"/>
  <c r="I16" i="6"/>
  <c r="I13" i="6"/>
  <c r="I17" i="6"/>
  <c r="I18" i="6"/>
  <c r="I19" i="6"/>
  <c r="I20" i="6"/>
  <c r="I21" i="6"/>
  <c r="I22" i="6"/>
  <c r="I23" i="6"/>
  <c r="I24" i="6"/>
  <c r="I25" i="6"/>
  <c r="I36" i="6"/>
  <c r="I42" i="6"/>
  <c r="I43" i="6"/>
  <c r="I41" i="6"/>
  <c r="I44" i="6"/>
  <c r="J11" i="6"/>
  <c r="J12" i="6"/>
  <c r="J15" i="6"/>
  <c r="J16" i="6"/>
  <c r="J13" i="6"/>
  <c r="J17" i="6"/>
  <c r="J18" i="6"/>
  <c r="J19" i="6"/>
  <c r="J20" i="6"/>
  <c r="J21" i="6"/>
  <c r="J22" i="6"/>
  <c r="J23" i="6"/>
  <c r="J24" i="6"/>
  <c r="J25" i="6"/>
  <c r="J36" i="6"/>
  <c r="J42" i="6"/>
  <c r="J43" i="6"/>
  <c r="J41" i="6"/>
  <c r="J44" i="6"/>
  <c r="K11" i="6"/>
  <c r="K12" i="6"/>
  <c r="K15" i="6"/>
  <c r="K16" i="6"/>
  <c r="K13" i="6"/>
  <c r="K17" i="6"/>
  <c r="K18" i="6"/>
  <c r="K19" i="6"/>
  <c r="K20" i="6"/>
  <c r="K21" i="6"/>
  <c r="K22" i="6"/>
  <c r="K23" i="6"/>
  <c r="K24" i="6"/>
  <c r="K25" i="6"/>
  <c r="K36" i="6"/>
  <c r="K42" i="6"/>
  <c r="K43" i="6"/>
  <c r="K41" i="6"/>
  <c r="K44" i="6"/>
  <c r="L44" i="6"/>
  <c r="H42" i="6"/>
  <c r="H43" i="6"/>
  <c r="H41" i="6"/>
  <c r="H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I47" i="16"/>
  <c r="J47" i="16"/>
  <c r="K47" i="16"/>
  <c r="L47" i="16"/>
  <c r="L46" i="16"/>
  <c r="L45" i="16"/>
  <c r="H11" i="16"/>
  <c r="B11" i="16"/>
  <c r="I11" i="16"/>
  <c r="H12" i="16"/>
  <c r="B12" i="16"/>
  <c r="I12" i="16"/>
  <c r="I15" i="16"/>
  <c r="I16" i="16"/>
  <c r="I13" i="16"/>
  <c r="I17" i="16"/>
  <c r="I18" i="16"/>
  <c r="I19" i="16"/>
  <c r="I20" i="16"/>
  <c r="I21" i="16"/>
  <c r="I22" i="16"/>
  <c r="I23" i="16"/>
  <c r="I24" i="16"/>
  <c r="I25" i="16"/>
  <c r="I36" i="16"/>
  <c r="I42" i="16"/>
  <c r="I43" i="16"/>
  <c r="I41" i="16"/>
  <c r="I44" i="16"/>
  <c r="J11" i="16"/>
  <c r="J12" i="16"/>
  <c r="J15" i="16"/>
  <c r="J16" i="16"/>
  <c r="J13" i="16"/>
  <c r="J17" i="16"/>
  <c r="J18" i="16"/>
  <c r="J19" i="16"/>
  <c r="J20" i="16"/>
  <c r="J21" i="16"/>
  <c r="J22" i="16"/>
  <c r="J23" i="16"/>
  <c r="J24" i="16"/>
  <c r="J25" i="16"/>
  <c r="J36" i="16"/>
  <c r="J42" i="16"/>
  <c r="J43" i="16"/>
  <c r="J41" i="16"/>
  <c r="J44" i="16"/>
  <c r="K11" i="16"/>
  <c r="K12" i="16"/>
  <c r="K15" i="16"/>
  <c r="K16" i="16"/>
  <c r="K13" i="16"/>
  <c r="K17" i="16"/>
  <c r="K18" i="16"/>
  <c r="K19" i="16"/>
  <c r="K20" i="16"/>
  <c r="K21" i="16"/>
  <c r="K22" i="16"/>
  <c r="K23" i="16"/>
  <c r="K24" i="16"/>
  <c r="K25" i="16"/>
  <c r="K36" i="16"/>
  <c r="K42" i="16"/>
  <c r="K43" i="16"/>
  <c r="K41" i="16"/>
  <c r="K44" i="16"/>
  <c r="L44" i="16"/>
  <c r="H42" i="16"/>
  <c r="H43" i="16"/>
  <c r="H41" i="16"/>
  <c r="H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6" i="16"/>
  <c r="L15" i="16"/>
  <c r="L14" i="16"/>
  <c r="L13" i="16"/>
  <c r="L12" i="16"/>
  <c r="L11" i="16"/>
  <c r="L13" i="13"/>
  <c r="L12" i="13"/>
  <c r="L11" i="13"/>
  <c r="E31" i="7"/>
  <c r="E30" i="7"/>
  <c r="E27" i="7"/>
  <c r="E26" i="7"/>
  <c r="E25" i="7"/>
  <c r="E24" i="7"/>
  <c r="E23" i="7"/>
  <c r="E22" i="7"/>
  <c r="E21" i="7"/>
  <c r="E20" i="7"/>
  <c r="E19" i="7"/>
  <c r="E18" i="7"/>
  <c r="E17" i="7"/>
  <c r="E14" i="7"/>
  <c r="E13" i="7"/>
  <c r="E12" i="7"/>
  <c r="E11" i="7"/>
  <c r="E10" i="7"/>
  <c r="E9" i="7"/>
  <c r="E8" i="7"/>
  <c r="E7" i="7"/>
  <c r="E6" i="7"/>
  <c r="E5" i="7"/>
  <c r="E4" i="7"/>
  <c r="H11" i="12"/>
  <c r="I11" i="12"/>
  <c r="I24" i="12"/>
  <c r="I42" i="12"/>
  <c r="I43" i="12"/>
  <c r="I13" i="12"/>
  <c r="I17" i="12"/>
  <c r="I23" i="12"/>
  <c r="I25" i="12"/>
  <c r="I41" i="12"/>
  <c r="I44" i="12"/>
  <c r="I47" i="12"/>
  <c r="J19" i="12"/>
  <c r="J20" i="12"/>
  <c r="J16" i="12"/>
  <c r="J21" i="12"/>
  <c r="J15" i="12"/>
  <c r="J17" i="12"/>
  <c r="J18" i="12"/>
  <c r="J22" i="12"/>
  <c r="J24" i="12"/>
  <c r="J42" i="12"/>
  <c r="J43" i="12"/>
  <c r="J13" i="12"/>
  <c r="J23" i="12"/>
  <c r="J25" i="12"/>
  <c r="J41" i="12"/>
  <c r="J44" i="12"/>
  <c r="J47" i="12"/>
  <c r="K19" i="12"/>
  <c r="K20" i="12"/>
  <c r="K21" i="12"/>
  <c r="K17" i="12"/>
  <c r="K18" i="12"/>
  <c r="K22" i="12"/>
  <c r="K24" i="12"/>
  <c r="K42" i="12"/>
  <c r="K43" i="12"/>
  <c r="K13" i="12"/>
  <c r="K23" i="12"/>
  <c r="K25" i="12"/>
  <c r="K41" i="12"/>
  <c r="K44" i="12"/>
  <c r="K47" i="12"/>
  <c r="L47" i="12"/>
  <c r="L46" i="12"/>
  <c r="L45" i="12"/>
  <c r="L44" i="12"/>
  <c r="L43" i="12"/>
  <c r="L42" i="12"/>
  <c r="L41" i="12"/>
  <c r="L40" i="12"/>
  <c r="L39" i="12"/>
  <c r="L38" i="12"/>
  <c r="L37" i="12"/>
  <c r="L36" i="12"/>
  <c r="L35" i="12"/>
  <c r="L34" i="12"/>
  <c r="L33" i="12"/>
  <c r="L32" i="12"/>
  <c r="L31" i="12"/>
  <c r="L30" i="12"/>
  <c r="L29" i="12"/>
  <c r="L28" i="12"/>
  <c r="L27" i="12"/>
  <c r="L26" i="12"/>
  <c r="L25" i="12"/>
  <c r="L24" i="12"/>
  <c r="L23" i="12"/>
  <c r="L22" i="12"/>
  <c r="L21" i="12"/>
  <c r="L20" i="12"/>
  <c r="L19" i="12"/>
  <c r="L18" i="12"/>
  <c r="L17" i="12"/>
  <c r="L16" i="12"/>
  <c r="L15" i="12"/>
  <c r="L14" i="12"/>
  <c r="L13" i="12"/>
  <c r="L12" i="12"/>
  <c r="L11" i="12"/>
  <c r="K13" i="13"/>
  <c r="J13" i="13"/>
  <c r="D27" i="7"/>
  <c r="D14" i="7"/>
  <c r="C27" i="7"/>
  <c r="C14" i="7"/>
  <c r="K36" i="12"/>
  <c r="B11" i="12"/>
  <c r="J36" i="12"/>
  <c r="A12" i="18"/>
  <c r="I15" i="12"/>
  <c r="I18" i="12"/>
  <c r="I19" i="12"/>
  <c r="I20" i="12"/>
  <c r="I22" i="12"/>
  <c r="I36" i="12"/>
  <c r="H41" i="12"/>
  <c r="H42" i="12"/>
  <c r="H43" i="12"/>
  <c r="H44" i="12"/>
  <c r="H47" i="12"/>
  <c r="B14" i="7"/>
  <c r="E16" i="7"/>
  <c r="A17" i="7"/>
  <c r="A18" i="7"/>
  <c r="A19" i="7"/>
  <c r="A20" i="7"/>
  <c r="A21" i="7"/>
  <c r="A22" i="7"/>
  <c r="A23" i="7"/>
  <c r="A24" i="7"/>
  <c r="A25" i="7"/>
  <c r="A26" i="7"/>
  <c r="B27" i="7"/>
  <c r="A35" i="7"/>
  <c r="E35" i="7"/>
  <c r="A36" i="7"/>
  <c r="E36" i="7"/>
  <c r="A37" i="7"/>
  <c r="E37" i="7"/>
  <c r="A38" i="7"/>
  <c r="E38" i="7"/>
  <c r="A39" i="7"/>
  <c r="E39" i="7"/>
  <c r="A40" i="7"/>
  <c r="E40" i="7"/>
  <c r="A41" i="7"/>
  <c r="E41" i="7"/>
  <c r="A42" i="7"/>
  <c r="E42" i="7"/>
  <c r="A43" i="7"/>
  <c r="E43" i="7"/>
  <c r="A44" i="7"/>
  <c r="E44" i="7"/>
  <c r="B45" i="7"/>
  <c r="E45" i="7"/>
  <c r="B4" i="13"/>
  <c r="H4" i="13"/>
  <c r="I4" i="13"/>
  <c r="L4" i="13"/>
  <c r="B5" i="13"/>
  <c r="I5" i="13"/>
  <c r="L5" i="13"/>
  <c r="H5" i="13"/>
  <c r="B8" i="13"/>
  <c r="H8" i="13"/>
  <c r="I13" i="13"/>
  <c r="I8" i="13"/>
  <c r="L8" i="13"/>
</calcChain>
</file>

<file path=xl/comments1.xml><?xml version="1.0" encoding="utf-8"?>
<comments xmlns="http://schemas.openxmlformats.org/spreadsheetml/2006/main">
  <authors>
    <author>Suzanne Huard</author>
  </authors>
  <commentList>
    <comment ref="B5" authorId="0">
      <text>
        <r>
          <rPr>
            <b/>
            <sz val="8"/>
            <color indexed="81"/>
            <rFont val="Tahoma"/>
            <family val="2"/>
          </rPr>
          <t xml:space="preserve">Sponsor Title: </t>
        </r>
        <r>
          <rPr>
            <sz val="8"/>
            <color indexed="81"/>
            <rFont val="Tahoma"/>
            <family val="2"/>
          </rPr>
          <t xml:space="preserve">Adds a title to the top-left cell of every worksheet. This cell can be edited at any time and is optional.
</t>
        </r>
      </text>
    </comment>
    <comment ref="B8"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1"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Choose from dropdown list.</t>
        </r>
        <r>
          <rPr>
            <sz val="7.5"/>
            <color indexed="81"/>
            <rFont val="Tahoma"/>
            <family val="2"/>
          </rPr>
          <t xml:space="preserve">
</t>
        </r>
      </text>
    </comment>
    <comment ref="B14" authorId="0">
      <text>
        <r>
          <rPr>
            <sz val="8"/>
            <color indexed="81"/>
            <rFont val="Tahoma"/>
            <family val="2"/>
          </rPr>
          <t xml:space="preserve">Will be used to inflate staff and non-AAUP faculty salary.  
(You will enter the AAUP faculty inflator on the sponsor tab).
</t>
        </r>
      </text>
    </comment>
    <comment ref="B18"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9"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4"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<sst xmlns="http://schemas.openxmlformats.org/spreadsheetml/2006/main" count="514" uniqueCount="220">
  <si>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</si>
  <si>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</si>
  <si>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</si>
  <si>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</si>
  <si>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</si>
  <si>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</si>
  <si>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</si>
  <si>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</si>
  <si>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</si>
  <si>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</si>
  <si>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</si>
  <si>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</si>
  <si>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</si>
  <si>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</si>
  <si>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</si>
  <si>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</si>
  <si>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</si>
  <si>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</si>
  <si>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</si>
  <si>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</si>
  <si>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</si>
  <si>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</si>
  <si>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</si>
  <si>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</si>
  <si>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</si>
  <si>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</si>
  <si>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</si>
  <si>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</si>
  <si>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</si>
  <si>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</si>
  <si>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</si>
  <si>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</si>
  <si>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</si>
  <si>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</si>
  <si>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</si>
  <si>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</si>
  <si>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</si>
  <si>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</si>
  <si>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</si>
  <si>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</si>
  <si>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</si>
  <si>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</si>
  <si>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</si>
  <si>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</si>
  <si>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</si>
  <si>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</si>
  <si>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</si>
  <si>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</si>
  <si>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</si>
  <si>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</si>
  <si>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</si>
  <si>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</si>
  <si>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</si>
  <si>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</si>
  <si>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</si>
  <si>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</si>
  <si>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</si>
  <si>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</si>
  <si>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</si>
  <si>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</si>
  <si>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</si>
  <si>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</si>
  <si>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</si>
  <si>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</si>
  <si>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</si>
  <si>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</si>
  <si>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</si>
  <si>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</si>
  <si>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</si>
  <si>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</si>
  <si>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</si>
  <si>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</si>
  <si>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</si>
  <si>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</si>
  <si>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</si>
  <si>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</si>
  <si>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</si>
  <si>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</si>
  <si>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</si>
  <si>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</si>
  <si>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</si>
  <si>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</si>
  <si>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</si>
  <si>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</si>
  <si>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</si>
  <si>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</si>
  <si>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</si>
  <si>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</si>
  <si>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</si>
  <si>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</si>
  <si>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</si>
  <si>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</si>
  <si>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</si>
  <si>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</si>
  <si>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</si>
  <si>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</si>
  <si>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</si>
  <si>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</si>
  <si>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</si>
  <si>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</si>
  <si>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</si>
  <si>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</si>
  <si>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</si>
  <si>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</si>
  <si>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</si>
  <si>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</si>
  <si>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</si>
  <si>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</si>
  <si>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</si>
  <si>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</si>
  <si>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</si>
  <si>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</si>
  <si>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</si>
  <si>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</si>
  <si>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</si>
  <si>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</si>
  <si>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</si>
  <si>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</si>
  <si>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</si>
  <si>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</si>
  <si>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</si>
  <si>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</si>
  <si>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</si>
  <si>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</si>
  <si>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</si>
  <si>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</si>
  <si>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</si>
  <si>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</si>
  <si>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</si>
  <si>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</si>
  <si>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</si>
  <si>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</si>
  <si>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</si>
  <si>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</si>
  <si>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</si>
  <si>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</si>
  <si>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</si>
  <si>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</si>
  <si>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</si>
  <si>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</si>
  <si>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</si>
  <si>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</si>
  <si>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</si>
  <si>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</si>
  <si>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</si>
  <si>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</si>
  <si>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</si>
  <si>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</si>
  <si>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</si>
  <si>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</si>
  <si>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</si>
  <si>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</si>
  <si>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</si>
  <si>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</si>
  <si>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</si>
  <si>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</si>
  <si>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</si>
  <si>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</si>
  <si>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</si>
  <si>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</si>
  <si>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</si>
  <si>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</si>
  <si>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</si>
  <si>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</si>
  <si>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</si>
  <si>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</si>
  <si>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</si>
  <si>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</si>
  <si>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</si>
  <si>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</si>
  <si>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</si>
  <si>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</si>
  <si>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</si>
  <si>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</si>
  <si>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</si>
  <si>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</si>
  <si>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</si>
  <si>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</si>
  <si>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</si>
  <si>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</si>
  <si>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</si>
  <si>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</si>
  <si>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Updated to include export values to a macro free spreadsheet for upload into InfoEd</t>
  </si>
  <si>
    <t>2. Click "Create New Workbook". A new file will be created on your desktop.</t>
  </si>
  <si>
    <t>1. Select the Worksheet (Tabs) to include in your new Workbook:</t>
  </si>
  <si>
    <t>3. Be sure to save and rename your new file when finished.</t>
  </si>
  <si>
    <t>After you have completed building your budget starting with the Setup tab, you can optionally use this section to create a "Macro Free Workbook" for distribution or upload into InfoEd.</t>
  </si>
  <si>
    <t>PropBud v1.17</t>
  </si>
  <si>
    <t>Modified export process to no longer use activex control buttons which do not work on the mac. This fixed an issue where the template was instantly crashing when opened on a mac.</t>
  </si>
  <si>
    <t>PropBud v1.18</t>
  </si>
  <si>
    <t>Fixed an issue where the mac version would crash upon re-opening a saved worksheet.</t>
  </si>
  <si>
    <t>PropBud v1.19</t>
  </si>
  <si>
    <t>PropBud v1.20</t>
  </si>
  <si>
    <t>Fixed a critical bug where the mac version would occasionally display a programming error when copying column width. This resulted in the project being corrupted.</t>
  </si>
  <si>
    <t>Fixed a bug that caused the mac version to incorrectly generate forumas on the Sponsor sheet.</t>
  </si>
  <si>
    <t>PropBud v1.21</t>
  </si>
  <si>
    <t>Fixed a mac bug that caused the project to crash when attempting to refresh buttons as the user navigaed the workbook. This issue only occurred when opening a saved workbook and having used certain controls.</t>
  </si>
  <si>
    <t>PropBud v1.22</t>
  </si>
  <si>
    <t>Added a test macro which will add a single period to all sheets. Due to a few unresolved issues this macro is currently not being used.</t>
  </si>
  <si>
    <t>PropBud v1.23</t>
  </si>
  <si>
    <t>Mac stable version</t>
  </si>
  <si>
    <t>Sponsor Title</t>
  </si>
  <si>
    <t>PropBud v1.24</t>
  </si>
  <si>
    <t>PropBud v1.25</t>
  </si>
  <si>
    <t>Added an editable title field to the top-left of all worksheets. This allows user to change the budget title from any worksheet and it will update the title across all worksheets.
Edited the comments on the setup sheet to clean them up a bit. Added a new comment for the title field.</t>
  </si>
  <si>
    <r>
      <t xml:space="preserve">Modified Total Direct Cost </t>
    </r>
    <r>
      <rPr>
        <sz val="8"/>
        <rFont val="Trebuchet MS"/>
        <family val="2"/>
      </rPr>
      <t>(MTDC)</t>
    </r>
  </si>
  <si>
    <t>2/18/2015 - 2/25/2015</t>
  </si>
  <si>
    <t>F&amp;A no longer picked up on "Participant Support Costs" when selecting "std Modified Direct Cost"
Removed "std Modified Direct Cost (MTDC) from the F&amp;A Base drop-down on Setup Sheet.
Changed "NSF Modified Direct Cost (MTDCN)" to "Modified Direct Cost (MTDC) in the F&amp;A Base drop-down on Setup Sheet.
Removed code for previous 'MTDC' setup and updated to reflect the output from the previously named 'MTDCN' (now 'MTDC')</t>
  </si>
  <si>
    <t>PropBud v1.26</t>
  </si>
  <si>
    <t>Updated Fringe Benefit Rates for FY16</t>
  </si>
  <si>
    <t>PropBud v1.27</t>
  </si>
  <si>
    <t>Updated Rate sheet</t>
  </si>
  <si>
    <t>DOD: Desert Mouse</t>
  </si>
  <si>
    <t>Matthew MacManes</t>
  </si>
  <si>
    <t>Research On-Campus (URESON)</t>
  </si>
  <si>
    <t>Modified Total Direct Cost (MTDC)</t>
  </si>
  <si>
    <t>Period 2</t>
  </si>
  <si>
    <t>Period 3</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</si>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</sst>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sz val="10"/>
      <color rgb="FF000000"/>
      <name val="Helv"/>
    </font>
    <font>
      <b/>
      <sz val="10"/>
      <name val="Helv"/>
    </font>
    <font>
      <sz val="7.5"/>
      <color indexed="81"/>
      <name val="Tahoma"/>
      <family val="2"/>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5">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cellStyleXfs>
  <cellXfs count="197">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14" fontId="3" fillId="2" borderId="0" xfId="0" applyNumberFormat="1" applyFont="1" applyFill="1"/>
    <xf numFmtId="164" fontId="3" fillId="2" borderId="0" xfId="4" applyNumberFormat="1" applyFont="1" applyFill="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23" fillId="0" borderId="0" xfId="0" applyFont="1" applyFill="1" applyBorder="1" applyAlignment="1">
      <alignment vertical="top" wrapText="1"/>
    </xf>
    <xf numFmtId="37" fontId="23" fillId="0" borderId="14" xfId="0" applyFont="1" applyFill="1" applyBorder="1" applyAlignment="1">
      <alignment vertical="top" wrapText="1"/>
    </xf>
    <xf numFmtId="37" fontId="23" fillId="0" borderId="13" xfId="0" applyFont="1" applyFill="1" applyBorder="1" applyAlignment="1">
      <alignment vertical="top" wrapText="1"/>
    </xf>
    <xf numFmtId="37" fontId="23" fillId="0" borderId="0" xfId="0" applyFont="1" applyFill="1" applyBorder="1" applyAlignment="1">
      <alignment vertical="center" wrapText="1"/>
    </xf>
    <xf numFmtId="37" fontId="4" fillId="3" borderId="0" xfId="2" applyFont="1" applyFill="1" applyAlignment="1" applyProtection="1">
      <protection locked="0"/>
    </xf>
    <xf numFmtId="37" fontId="4" fillId="3" borderId="2" xfId="0" applyFont="1" applyFill="1" applyBorder="1" applyAlignment="1" applyProtection="1">
      <protection locked="0"/>
    </xf>
    <xf numFmtId="37" fontId="4" fillId="3" borderId="0" xfId="0" applyFont="1" applyFill="1" applyBorder="1" applyAlignment="1" applyProtection="1">
      <protection locked="0"/>
    </xf>
    <xf numFmtId="37" fontId="3" fillId="3" borderId="0" xfId="2" applyFont="1" applyFill="1" applyAlignment="1" applyProtection="1">
      <protection locked="0"/>
    </xf>
    <xf numFmtId="37" fontId="23" fillId="0" borderId="13" xfId="0" applyFont="1" applyFill="1" applyBorder="1" applyAlignment="1">
      <alignment horizontal="center" wrapText="1"/>
    </xf>
    <xf numFmtId="37" fontId="23" fillId="0" borderId="0" xfId="0" applyFont="1" applyFill="1" applyBorder="1" applyAlignment="1">
      <alignment horizontal="center" wrapText="1"/>
    </xf>
    <xf numFmtId="37" fontId="23" fillId="0" borderId="14" xfId="0" applyFont="1" applyFill="1" applyBorder="1" applyAlignment="1">
      <alignment horizontal="center" wrapText="1"/>
    </xf>
    <xf numFmtId="37" fontId="23" fillId="0" borderId="0" xfId="0" applyFont="1" applyFill="1" applyBorder="1" applyAlignment="1">
      <alignment horizontal="left" vertical="center" wrapText="1"/>
    </xf>
    <xf numFmtId="37" fontId="23" fillId="0" borderId="13" xfId="0" applyFont="1" applyFill="1" applyBorder="1" applyAlignment="1">
      <alignment horizontal="center" vertical="top" wrapText="1"/>
    </xf>
    <xf numFmtId="37" fontId="23" fillId="0" borderId="0" xfId="0" applyFont="1" applyFill="1" applyBorder="1" applyAlignment="1">
      <alignment horizontal="center" vertical="top" wrapText="1"/>
    </xf>
    <xf numFmtId="37" fontId="23" fillId="0" borderId="14" xfId="0" applyFont="1" applyFill="1" applyBorder="1" applyAlignment="1">
      <alignment horizontal="center" vertical="top" wrapText="1"/>
    </xf>
    <xf numFmtId="37" fontId="23" fillId="0" borderId="13" xfId="0" applyFont="1" applyFill="1" applyBorder="1" applyAlignment="1">
      <alignment horizontal="center" vertical="center" wrapText="1"/>
    </xf>
    <xf numFmtId="37" fontId="23" fillId="0" borderId="0" xfId="0" applyFont="1" applyFill="1" applyBorder="1" applyAlignment="1">
      <alignment horizontal="center" vertical="center" wrapText="1"/>
    </xf>
    <xf numFmtId="37" fontId="23" fillId="0" borderId="14" xfId="0" applyFont="1" applyFill="1" applyBorder="1" applyAlignment="1">
      <alignment horizontal="center" vertical="center" wrapText="1"/>
    </xf>
    <xf numFmtId="37" fontId="11" fillId="3" borderId="0" xfId="0" applyFont="1" applyFill="1" applyProtection="1"/>
  </cellXfs>
  <cellStyles count="5">
    <cellStyle name="Comma" xfId="1" builtinId="3"/>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List" dx="22" multiSel="1" noThreeD="1" sel="0" seltype="multi" val="0"/>
</file>

<file path=xl/ctrlProps/ctrlProp6.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24</xdr:row>
          <xdr:rowOff>25400</xdr:rowOff>
        </xdr:from>
        <xdr:to>
          <xdr:col>2</xdr:col>
          <xdr:colOff>190500</xdr:colOff>
          <xdr:row>24</xdr:row>
          <xdr:rowOff>266700</xdr:rowOff>
        </xdr:to>
        <xdr:sp macro="" textlink="">
          <xdr:nvSpPr>
            <xdr:cNvPr id="5159" name="Button 39" hidden="1">
              <a:extLst>
                <a:ext uri="{63B3BB69-23CF-44E3-9099-C40C66FF867C}">
                  <a14:compatExt spid="_x0000_s5159"/>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25400</xdr:rowOff>
        </xdr:from>
        <xdr:to>
          <xdr:col>2</xdr:col>
          <xdr:colOff>190500</xdr:colOff>
          <xdr:row>24</xdr:row>
          <xdr:rowOff>266700</xdr:rowOff>
        </xdr:to>
        <xdr:sp macro="" textlink="">
          <xdr:nvSpPr>
            <xdr:cNvPr id="5184" name="Button 64" hidden="1">
              <a:extLst>
                <a:ext uri="{63B3BB69-23CF-44E3-9099-C40C66FF867C}">
                  <a14:compatExt spid="_x0000_s5184"/>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1473200</xdr:colOff>
          <xdr:row>14</xdr:row>
          <xdr:rowOff>330200</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50800</xdr:colOff>
          <xdr:row>9</xdr:row>
          <xdr:rowOff>12700</xdr:rowOff>
        </xdr:from>
        <xdr:to>
          <xdr:col>5</xdr:col>
          <xdr:colOff>254000</xdr:colOff>
          <xdr:row>16</xdr:row>
          <xdr:rowOff>25400</xdr:rowOff>
        </xdr:to>
        <xdr:sp macro="" textlink="">
          <xdr:nvSpPr>
            <xdr:cNvPr id="11273" name="lstTabs"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63500</xdr:colOff>
          <xdr:row>20</xdr:row>
          <xdr:rowOff>127000</xdr:rowOff>
        </xdr:from>
        <xdr:to>
          <xdr:col>5</xdr:col>
          <xdr:colOff>317500</xdr:colOff>
          <xdr:row>24</xdr:row>
          <xdr:rowOff>101600</xdr:rowOff>
        </xdr:to>
        <xdr:sp macro="" textlink="">
          <xdr:nvSpPr>
            <xdr:cNvPr id="11274" name="cmdCreateExcel" hidden="1">
              <a:extLst>
                <a:ext uri="{63B3BB69-23CF-44E3-9099-C40C66FF867C}">
                  <a14:compatExt spid="_x0000_s112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
                  <a:ea typeface="Helv"/>
                  <a:cs typeface="Helv"/>
                </a:rPr>
                <a:t>Create Worksheet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2.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6"/>
  <sheetViews>
    <sheetView workbookViewId="0">
      <selection activeCell="B9" sqref="B9"/>
    </sheetView>
  </sheetViews>
  <sheetFormatPr baseColWidth="10" defaultColWidth="11" defaultRowHeight="13" x14ac:dyDescent="0.15"/>
  <cols>
    <col min="1" max="1" width="21" style="93" customWidth="1"/>
    <col min="2" max="2" width="31.83203125" style="95" bestFit="1" customWidth="1"/>
    <col min="3" max="3" width="4.1640625" style="1" customWidth="1"/>
    <col min="4" max="4" width="11" style="1" customWidth="1"/>
    <col min="5" max="5" width="14.5" style="1" customWidth="1"/>
    <col min="6" max="6" width="11" style="1" customWidth="1"/>
    <col min="7" max="7" width="17" style="1" customWidth="1"/>
    <col min="8" max="8" width="13.1640625" style="1" customWidth="1"/>
    <col min="9" max="16384" width="11" style="1"/>
  </cols>
  <sheetData>
    <row r="1" spans="1:2" ht="15.75" customHeight="1" x14ac:dyDescent="0.15">
      <c r="A1" s="165" t="s">
        <v>210</v>
      </c>
      <c r="B1" s="1"/>
    </row>
    <row r="2" spans="1:2" s="163" customFormat="1" ht="15.75" customHeight="1" x14ac:dyDescent="0.2">
      <c r="A2" s="164" t="s">
        <v>164</v>
      </c>
      <c r="B2" s="162"/>
    </row>
    <row r="3" spans="1:2" ht="15.75" customHeight="1" x14ac:dyDescent="0.2">
      <c r="A3" s="164" t="s">
        <v>171</v>
      </c>
    </row>
    <row r="4" spans="1:2" ht="15.75" customHeight="1" x14ac:dyDescent="0.2">
      <c r="A4" s="164" t="s">
        <v>172</v>
      </c>
    </row>
    <row r="5" spans="1:2" ht="15.75" customHeight="1" x14ac:dyDescent="0.15">
      <c r="A5" s="92" t="s">
        <v>201</v>
      </c>
      <c r="B5" s="98" t="s">
        <v>212</v>
      </c>
    </row>
    <row r="6" spans="1:2" ht="15.75" customHeight="1" x14ac:dyDescent="0.2">
      <c r="A6" s="164"/>
    </row>
    <row r="7" spans="1:2" s="2" customFormat="1" x14ac:dyDescent="0.15">
      <c r="A7" s="92" t="s">
        <v>56</v>
      </c>
      <c r="B7" s="96"/>
    </row>
    <row r="8" spans="1:2" x14ac:dyDescent="0.15">
      <c r="A8" s="93" t="s">
        <v>130</v>
      </c>
      <c r="B8" s="97" t="s">
        <v>213</v>
      </c>
    </row>
    <row r="9" spans="1:2" x14ac:dyDescent="0.15">
      <c r="A9" s="93" t="s">
        <v>42</v>
      </c>
      <c r="B9" s="98" t="s">
        <v>44</v>
      </c>
    </row>
    <row r="10" spans="1:2" x14ac:dyDescent="0.15">
      <c r="A10" s="92" t="s">
        <v>47</v>
      </c>
    </row>
    <row r="11" spans="1:2" x14ac:dyDescent="0.15">
      <c r="A11" s="93" t="s">
        <v>36</v>
      </c>
      <c r="B11" s="100" t="s">
        <v>214</v>
      </c>
    </row>
    <row r="12" spans="1:2" x14ac:dyDescent="0.15">
      <c r="A12" s="112" t="s">
        <v>55</v>
      </c>
      <c r="B12" s="101"/>
    </row>
    <row r="13" spans="1:2" x14ac:dyDescent="0.15">
      <c r="A13" s="93" t="s">
        <v>48</v>
      </c>
      <c r="B13" s="100" t="s">
        <v>215</v>
      </c>
    </row>
    <row r="14" spans="1:2" ht="26" x14ac:dyDescent="0.15">
      <c r="A14" s="92" t="s">
        <v>156</v>
      </c>
      <c r="B14" s="102">
        <v>0.03</v>
      </c>
    </row>
    <row r="16" spans="1:2" x14ac:dyDescent="0.15">
      <c r="A16" s="92" t="s">
        <v>41</v>
      </c>
    </row>
    <row r="17" spans="1:7" x14ac:dyDescent="0.15">
      <c r="A17" s="93" t="s">
        <v>54</v>
      </c>
      <c r="B17" s="99">
        <v>42527</v>
      </c>
    </row>
    <row r="18" spans="1:7" ht="23" customHeight="1" x14ac:dyDescent="0.15">
      <c r="A18" s="93" t="s">
        <v>146</v>
      </c>
      <c r="B18" s="98">
        <v>3</v>
      </c>
    </row>
    <row r="19" spans="1:7" x14ac:dyDescent="0.15">
      <c r="A19" s="93" t="s">
        <v>57</v>
      </c>
      <c r="B19" s="98">
        <v>0</v>
      </c>
    </row>
    <row r="20" spans="1:7" x14ac:dyDescent="0.15">
      <c r="A20" s="93" t="s">
        <v>58</v>
      </c>
      <c r="B20" s="98">
        <v>0</v>
      </c>
      <c r="G20" s="16"/>
    </row>
    <row r="21" spans="1:7" x14ac:dyDescent="0.15">
      <c r="A21" s="93" t="s">
        <v>147</v>
      </c>
      <c r="B21" s="98">
        <v>0</v>
      </c>
    </row>
    <row r="22" spans="1:7" x14ac:dyDescent="0.15">
      <c r="A22" s="93" t="s">
        <v>148</v>
      </c>
      <c r="B22" s="98">
        <v>0</v>
      </c>
    </row>
    <row r="24" spans="1:7" x14ac:dyDescent="0.15">
      <c r="A24" s="92" t="s">
        <v>150</v>
      </c>
      <c r="B24" s="196" t="s">
        <v>102</v>
      </c>
    </row>
    <row r="25" spans="1:7" x14ac:dyDescent="0.15">
      <c r="B25" s="103"/>
    </row>
    <row r="26" spans="1:7" x14ac:dyDescent="0.15">
      <c r="A26" s="94"/>
      <c r="B26" s="96"/>
    </row>
  </sheetData>
  <sheetProtection sheet="1" objects="1" scenarios="1" selectLockedCells="1"/>
  <phoneticPr fontId="2" type="noConversion"/>
  <dataValidations count="7">
    <dataValidation type="date" operator="greaterThanOrEqual" allowBlank="1" showInputMessage="1" showErrorMessage="1" sqref="B17">
      <formula1>38353</formula1>
    </dataValidation>
    <dataValidation type="list" allowBlank="1" showInputMessage="1" showErrorMessage="1" sqref="B11">
      <formula1>IDCRateList</formula1>
    </dataValidation>
    <dataValidation type="decimal" allowBlank="1" showInputMessage="1" showErrorMessage="1" sqref="B12 B14">
      <formula1>0</formula1>
      <formula2>100</formula2>
    </dataValidation>
    <dataValidation type="list" showInputMessage="1" showErrorMessage="1" sqref="B13">
      <formula1>IDCBasisList</formula1>
    </dataValidation>
    <dataValidation type="list" allowBlank="1" showInputMessage="1" showErrorMessage="1" sqref="B9">
      <formula1>AppointmentList</formula1>
    </dataValidation>
    <dataValidation type="whole" showInputMessage="1" showErrorMessage="1" sqref="B19:B22">
      <formula1>0</formula1>
      <formula2>10</formula2>
    </dataValidation>
    <dataValidation type="whole" allowBlank="1" showInputMessage="1" showErrorMessage="1" sqref="B18">
      <formula1>1</formula1>
      <formula2>10</formula2>
    </dataValidation>
  </dataValidations>
  <pageMargins left="0.75" right="0.75" top="1" bottom="1" header="0.5" footer="0.5"/>
  <pageSetup orientation="portrait" horizontalDpi="4294967292" verticalDpi="4294967292"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P53"/>
  <sheetViews>
    <sheetView tabSelected="1" topLeftCell="A21" workbookViewId="0">
      <selection activeCell="K31" sqref="K31"/>
    </sheetView>
  </sheetViews>
  <sheetFormatPr baseColWidth="10" defaultColWidth="11" defaultRowHeight="13" x14ac:dyDescent="0.15"/>
  <cols>
    <col min="1" max="1" width="5.1640625" style="38" customWidth="1"/>
    <col min="2" max="2" width="5.83203125" style="38" customWidth="1"/>
    <col min="3" max="3" width="3.83203125" style="38" customWidth="1"/>
    <col min="4" max="4" width="26.83203125" style="38" customWidth="1"/>
    <col min="5" max="5" width="10.1640625" style="39" customWidth="1"/>
    <col min="6" max="6" width="6.5" style="39" bestFit="1" customWidth="1"/>
    <col min="7" max="7" width="8.1640625" style="38" customWidth="1"/>
    <col min="8" max="8" width="8.1640625" style="38" hidden="1" customWidth="1"/>
    <col min="9" max="12" width="11" style="38" customWidth="1"/>
    <col min="13" max="13" width="1.5" style="38" customWidth="1"/>
    <col min="14" max="14" width="4.5" style="40" customWidth="1"/>
    <col min="15" max="15" width="4.1640625" style="40" customWidth="1"/>
    <col min="16" max="16" width="33" style="152" customWidth="1"/>
    <col min="17" max="16384" width="11" style="38"/>
  </cols>
  <sheetData>
    <row r="1" spans="1:16" ht="12" customHeight="1" x14ac:dyDescent="0.15">
      <c r="A1" s="182" t="s">
        <v>212</v>
      </c>
      <c r="B1" s="182"/>
      <c r="C1" s="182"/>
      <c r="D1" s="182"/>
    </row>
    <row r="2" spans="1:16" s="44" customFormat="1" ht="11" x14ac:dyDescent="0.15">
      <c r="A2" s="41"/>
      <c r="B2" s="41"/>
      <c r="C2" s="41"/>
      <c r="D2" s="41"/>
      <c r="E2" s="42"/>
      <c r="F2" s="42"/>
      <c r="G2" s="43" t="s">
        <v>116</v>
      </c>
      <c r="H2" s="43"/>
      <c r="I2" s="41">
        <v>42527</v>
      </c>
      <c r="J2" s="41">
        <v>42892</v>
      </c>
      <c r="K2" s="41">
        <v>43257</v>
      </c>
      <c r="L2" s="41"/>
      <c r="M2" s="41"/>
      <c r="N2" s="42"/>
      <c r="O2" s="42"/>
      <c r="P2" s="153"/>
    </row>
    <row r="3" spans="1:16" s="44" customFormat="1" ht="17.25" customHeight="1" x14ac:dyDescent="0.15">
      <c r="A3" s="110" t="s">
        <v>113</v>
      </c>
      <c r="B3" s="41"/>
      <c r="C3" s="41"/>
      <c r="D3" s="41"/>
      <c r="E3" s="42"/>
      <c r="F3" s="109" t="s">
        <v>112</v>
      </c>
      <c r="G3" s="43"/>
      <c r="H3" s="43"/>
      <c r="I3" s="41"/>
      <c r="J3" s="41"/>
      <c r="K3" s="41"/>
      <c r="L3" s="41"/>
      <c r="M3" s="41"/>
      <c r="N3" s="42"/>
      <c r="O3" s="42"/>
      <c r="P3" s="153"/>
    </row>
    <row r="4" spans="1:16" x14ac:dyDescent="0.15">
      <c r="A4" s="110"/>
      <c r="B4" s="49" t="s">
        <v>8</v>
      </c>
      <c r="C4" s="45"/>
      <c r="D4" s="108">
        <v>0.47499999403953552</v>
      </c>
      <c r="E4" s="47"/>
      <c r="F4" s="48"/>
      <c r="G4" s="49" t="s">
        <v>8</v>
      </c>
      <c r="H4" s="49"/>
      <c r="I4" s="50">
        <v>0.49333333969116211</v>
      </c>
      <c r="J4" s="50">
        <v>0.49958333373069763</v>
      </c>
      <c r="K4" s="50">
        <v>0.50458335876464844</v>
      </c>
      <c r="L4" s="50"/>
      <c r="M4" s="46"/>
      <c r="N4" s="51"/>
      <c r="O4" s="51"/>
      <c r="P4" s="154"/>
    </row>
    <row r="5" spans="1:16" ht="12.75" customHeight="1" x14ac:dyDescent="0.15">
      <c r="A5" s="111"/>
      <c r="B5" s="49" t="s">
        <v>32</v>
      </c>
      <c r="C5" s="45"/>
      <c r="D5" s="108">
        <v>0.37299999594688416</v>
      </c>
      <c r="E5" s="47"/>
      <c r="F5" s="48"/>
      <c r="G5" s="49" t="s">
        <v>32</v>
      </c>
      <c r="H5" s="49"/>
      <c r="I5" s="50">
        <v>0.37299999594688416</v>
      </c>
      <c r="J5" s="50">
        <v>0.37299999594688416</v>
      </c>
      <c r="K5" s="50">
        <v>0.37299999594688416</v>
      </c>
      <c r="L5" s="50"/>
      <c r="M5" s="46"/>
      <c r="N5" s="51"/>
      <c r="O5" s="51"/>
      <c r="P5" s="154"/>
    </row>
    <row r="6" spans="1:16" ht="12" customHeight="1" x14ac:dyDescent="0.15">
      <c r="A6" s="111"/>
      <c r="B6" s="49" t="s">
        <v>34</v>
      </c>
      <c r="C6" s="45"/>
      <c r="D6" s="108">
        <v>8.3999998867511749E-2</v>
      </c>
      <c r="E6" s="47"/>
      <c r="F6" s="48"/>
      <c r="G6" s="49" t="s">
        <v>34</v>
      </c>
      <c r="H6" s="49"/>
      <c r="I6" s="50">
        <v>8.3999998867511749E-2</v>
      </c>
      <c r="J6" s="50">
        <v>8.3999998867511749E-2</v>
      </c>
      <c r="K6" s="50">
        <v>8.3999998867511749E-2</v>
      </c>
      <c r="L6" s="50"/>
      <c r="M6" s="46"/>
      <c r="N6" s="51"/>
      <c r="O6" s="51"/>
      <c r="P6" s="154"/>
    </row>
    <row r="7" spans="1:16" ht="12" customHeight="1" x14ac:dyDescent="0.15">
      <c r="A7" s="111"/>
      <c r="B7" s="49" t="s">
        <v>35</v>
      </c>
      <c r="C7" s="45"/>
      <c r="D7" s="108">
        <v>0.24899999797344208</v>
      </c>
      <c r="E7" s="47"/>
      <c r="F7" s="48"/>
      <c r="G7" s="49" t="s">
        <v>35</v>
      </c>
      <c r="H7" s="49"/>
      <c r="I7" s="50">
        <v>0.24899999797344208</v>
      </c>
      <c r="J7" s="50">
        <v>0.24899999797344208</v>
      </c>
      <c r="K7" s="50">
        <v>0.24899999797344208</v>
      </c>
      <c r="L7" s="50"/>
      <c r="M7" s="46"/>
      <c r="N7" s="51"/>
      <c r="O7" s="51"/>
      <c r="P7" s="154"/>
    </row>
    <row r="8" spans="1:16" ht="20" customHeight="1" x14ac:dyDescent="0.15">
      <c r="A8" s="52" t="s">
        <v>39</v>
      </c>
      <c r="B8" s="53"/>
      <c r="C8" s="46"/>
      <c r="D8" s="108"/>
      <c r="E8" s="47"/>
      <c r="F8" s="47"/>
      <c r="G8" s="49" t="s">
        <v>149</v>
      </c>
      <c r="H8" s="49"/>
      <c r="I8" s="50"/>
      <c r="J8" s="50">
        <v>2.9999999329447746E-2</v>
      </c>
      <c r="K8" s="50">
        <v>2.9999999329447746E-2</v>
      </c>
      <c r="L8" s="46"/>
      <c r="M8" s="46"/>
      <c r="N8" s="51"/>
      <c r="O8" s="51"/>
      <c r="P8" s="155"/>
    </row>
    <row r="9" spans="1:16" ht="22" x14ac:dyDescent="0.15">
      <c r="A9" s="54" t="s">
        <v>140</v>
      </c>
      <c r="B9" s="54" t="s">
        <v>141</v>
      </c>
      <c r="I9" s="55" t="s">
        <v>100</v>
      </c>
      <c r="J9" s="55" t="s">
        <v>216</v>
      </c>
      <c r="K9" s="55" t="s">
        <v>217</v>
      </c>
      <c r="L9" s="55" t="s">
        <v>59</v>
      </c>
      <c r="M9" s="56"/>
      <c r="N9" s="57" t="s">
        <v>101</v>
      </c>
      <c r="O9" s="57" t="s">
        <v>87</v>
      </c>
      <c r="P9" s="156" t="s">
        <v>161</v>
      </c>
    </row>
    <row r="10" spans="1:16" x14ac:dyDescent="0.15">
      <c r="A10" s="58" t="s">
        <v>110</v>
      </c>
      <c r="B10" s="36">
        <v>0</v>
      </c>
      <c r="C10" s="59" t="s">
        <v>60</v>
      </c>
      <c r="D10" s="60"/>
      <c r="E10" s="55" t="s">
        <v>46</v>
      </c>
      <c r="F10" s="55" t="s">
        <v>142</v>
      </c>
      <c r="G10" s="61"/>
      <c r="H10" s="60"/>
      <c r="I10" s="62"/>
      <c r="J10" s="62"/>
      <c r="K10" s="62"/>
      <c r="L10" s="62"/>
      <c r="N10" s="63"/>
    </row>
    <row r="11" spans="1:16" x14ac:dyDescent="0.15">
      <c r="A11" s="6" t="s">
        <v>110</v>
      </c>
      <c r="B11" s="36">
        <f>FacInflationPct</f>
        <v>0</v>
      </c>
      <c r="C11" s="3"/>
      <c r="D11" s="88" t="s">
        <v>213</v>
      </c>
      <c r="E11" s="87">
        <v>77000</v>
      </c>
      <c r="F11" s="31">
        <v>0</v>
      </c>
      <c r="G11" s="22" t="s">
        <v>61</v>
      </c>
      <c r="H11" s="7">
        <f>$E11/9*$F11</f>
        <v>0</v>
      </c>
      <c r="I11" s="88">
        <f>H11*(1+$B11)</f>
        <v>0</v>
      </c>
      <c r="J11" s="88">
        <f>(I11* (1 + B11))</f>
        <v>0</v>
      </c>
      <c r="K11" s="88">
        <f>(J11* (1 + B11))</f>
        <v>0</v>
      </c>
      <c r="L11" s="7">
        <f>SUM( $I$11:$K$11)</f>
        <v>0</v>
      </c>
      <c r="M11" s="7"/>
      <c r="N11" s="27" t="s">
        <v>102</v>
      </c>
      <c r="O11" s="27" t="s">
        <v>89</v>
      </c>
    </row>
    <row r="12" spans="1:16" x14ac:dyDescent="0.15">
      <c r="A12" s="6" t="s">
        <v>110</v>
      </c>
      <c r="B12" s="36">
        <v>0.03</v>
      </c>
      <c r="C12" s="3"/>
      <c r="D12" s="32"/>
      <c r="E12" s="151"/>
      <c r="F12" s="31">
        <v>1.5</v>
      </c>
      <c r="G12" s="22" t="s">
        <v>62</v>
      </c>
      <c r="H12" s="7">
        <f>$E11/9*$F12</f>
        <v>12833.333333333332</v>
      </c>
      <c r="I12" s="88">
        <f>H12*(1+$B12)</f>
        <v>13218.333333333332</v>
      </c>
      <c r="J12" s="88">
        <f>(I12* (1 + B12))</f>
        <v>13614.883333333333</v>
      </c>
      <c r="K12" s="88">
        <f>(J12* (1 + B12))</f>
        <v>14023.329833333333</v>
      </c>
      <c r="L12" s="8">
        <f>SUM( $I$12:$K$12)</f>
        <v>40856.546499999997</v>
      </c>
      <c r="M12" s="8"/>
      <c r="N12" s="27" t="s">
        <v>102</v>
      </c>
      <c r="O12" s="27" t="s">
        <v>88</v>
      </c>
    </row>
    <row r="13" spans="1:16" x14ac:dyDescent="0.15">
      <c r="A13" s="45"/>
      <c r="B13" s="91"/>
      <c r="C13" s="46"/>
      <c r="D13" s="64" t="s">
        <v>63</v>
      </c>
      <c r="E13" s="65"/>
      <c r="F13" s="65"/>
      <c r="G13" s="66"/>
      <c r="H13" s="66"/>
      <c r="I13" s="46">
        <f>SUM( I11:I12)</f>
        <v>13218.333333333332</v>
      </c>
      <c r="J13" s="46">
        <f>SUM( J11:J12)</f>
        <v>13614.883333333333</v>
      </c>
      <c r="K13" s="46">
        <f>SUM( K11:K12)</f>
        <v>14023.329833333333</v>
      </c>
      <c r="L13" s="46">
        <f>SUM( $I$13:$K$13)</f>
        <v>40856.546499999997</v>
      </c>
      <c r="M13" s="46"/>
      <c r="N13" s="51"/>
      <c r="O13" s="51"/>
      <c r="P13" s="154"/>
    </row>
    <row r="14" spans="1:16" s="69" customFormat="1" x14ac:dyDescent="0.15">
      <c r="A14" s="67" t="s">
        <v>108</v>
      </c>
      <c r="B14" s="67"/>
      <c r="C14" s="68" t="s">
        <v>64</v>
      </c>
      <c r="D14" s="38"/>
      <c r="E14" s="39"/>
      <c r="F14" s="39"/>
      <c r="G14" s="38"/>
      <c r="H14" s="38"/>
      <c r="L14" s="69">
        <f>SUM( $I$14:$K$14)</f>
        <v>0</v>
      </c>
      <c r="N14" s="70"/>
      <c r="O14" s="70"/>
      <c r="P14" s="157"/>
    </row>
    <row r="15" spans="1:16" s="69" customFormat="1" x14ac:dyDescent="0.15">
      <c r="A15" s="71"/>
      <c r="B15" s="71"/>
      <c r="C15" s="72"/>
      <c r="D15" s="68" t="s">
        <v>65</v>
      </c>
      <c r="G15" s="73"/>
      <c r="H15" s="73">
        <v>0</v>
      </c>
      <c r="I15" s="30">
        <f>H15*(1+I$8)</f>
        <v>0</v>
      </c>
      <c r="J15" s="30">
        <f>I15*(1+J$8)</f>
        <v>0</v>
      </c>
      <c r="K15" s="30">
        <v>17484</v>
      </c>
      <c r="L15" s="69">
        <f>SUM( $I$15:$K$15)</f>
        <v>17484</v>
      </c>
      <c r="N15" s="70" t="s">
        <v>102</v>
      </c>
      <c r="O15" s="70" t="s">
        <v>103</v>
      </c>
      <c r="P15" s="157"/>
    </row>
    <row r="16" spans="1:16" s="69" customFormat="1" x14ac:dyDescent="0.15">
      <c r="A16" s="71"/>
      <c r="B16" s="71"/>
      <c r="C16" s="72"/>
      <c r="D16" s="68" t="s">
        <v>143</v>
      </c>
      <c r="H16" s="73">
        <v>0</v>
      </c>
      <c r="I16" s="30">
        <v>7000</v>
      </c>
      <c r="J16" s="30">
        <f t="shared" ref="I16:K22" si="0">I16*(1+J$8)</f>
        <v>7209.9999953061342</v>
      </c>
      <c r="K16" s="30">
        <f t="shared" si="0"/>
        <v>7426.2999903306363</v>
      </c>
      <c r="L16" s="69">
        <f>SUM( $I$16:$K$16)</f>
        <v>21636.299985636771</v>
      </c>
      <c r="N16" s="70" t="s">
        <v>102</v>
      </c>
      <c r="O16" s="70" t="s">
        <v>88</v>
      </c>
      <c r="P16" s="157"/>
    </row>
    <row r="17" spans="1:16" s="69" customFormat="1" x14ac:dyDescent="0.15">
      <c r="A17" s="74"/>
      <c r="B17" s="74"/>
      <c r="C17" s="75"/>
      <c r="D17" s="64" t="s">
        <v>95</v>
      </c>
      <c r="E17" s="66"/>
      <c r="F17" s="66"/>
      <c r="G17" s="76" t="s">
        <v>15</v>
      </c>
      <c r="H17" s="73">
        <v>0</v>
      </c>
      <c r="I17" s="66">
        <f>SUM(I15:I16)</f>
        <v>7000</v>
      </c>
      <c r="J17" s="66">
        <f>SUM(J15:J16)</f>
        <v>7209.9999953061342</v>
      </c>
      <c r="K17" s="66">
        <f>SUM(K15:K16)</f>
        <v>24910.299990330637</v>
      </c>
      <c r="L17" s="66">
        <f>SUM( $I$17:$K$17)</f>
        <v>39120.299985636768</v>
      </c>
      <c r="M17" s="66"/>
      <c r="N17" s="77"/>
      <c r="O17" s="77"/>
      <c r="P17" s="158"/>
    </row>
    <row r="18" spans="1:16" s="69" customFormat="1" x14ac:dyDescent="0.15">
      <c r="A18" s="71"/>
      <c r="B18" s="71"/>
      <c r="C18" s="72"/>
      <c r="D18" s="68" t="s">
        <v>66</v>
      </c>
      <c r="G18" s="73" t="s">
        <v>16</v>
      </c>
      <c r="H18" s="73">
        <v>0</v>
      </c>
      <c r="I18" s="30">
        <f t="shared" si="0"/>
        <v>0</v>
      </c>
      <c r="J18" s="30">
        <f t="shared" si="0"/>
        <v>0</v>
      </c>
      <c r="K18" s="30">
        <f t="shared" si="0"/>
        <v>0</v>
      </c>
      <c r="L18" s="69">
        <f>SUM( $I$18:$K$18)</f>
        <v>0</v>
      </c>
      <c r="N18" s="70" t="s">
        <v>102</v>
      </c>
      <c r="O18" s="70" t="s">
        <v>90</v>
      </c>
      <c r="P18" s="157"/>
    </row>
    <row r="19" spans="1:16" s="69" customFormat="1" x14ac:dyDescent="0.15">
      <c r="A19" s="71"/>
      <c r="B19" s="71"/>
      <c r="C19" s="72"/>
      <c r="D19" s="68" t="s">
        <v>67</v>
      </c>
      <c r="G19" s="73" t="s">
        <v>17</v>
      </c>
      <c r="H19" s="73">
        <v>0</v>
      </c>
      <c r="I19" s="30">
        <f t="shared" si="0"/>
        <v>0</v>
      </c>
      <c r="J19" s="30">
        <f t="shared" si="0"/>
        <v>0</v>
      </c>
      <c r="K19" s="30">
        <f t="shared" si="0"/>
        <v>0</v>
      </c>
      <c r="L19" s="69">
        <f>SUM( $I$19:$K$19)</f>
        <v>0</v>
      </c>
      <c r="N19" s="70" t="s">
        <v>102</v>
      </c>
      <c r="O19" s="70" t="s">
        <v>89</v>
      </c>
      <c r="P19" s="157"/>
    </row>
    <row r="20" spans="1:16" s="69" customFormat="1" x14ac:dyDescent="0.15">
      <c r="A20" s="71"/>
      <c r="B20" s="71"/>
      <c r="C20" s="72"/>
      <c r="D20" s="68" t="s">
        <v>68</v>
      </c>
      <c r="G20" s="73" t="s">
        <v>19</v>
      </c>
      <c r="H20" s="73">
        <v>0</v>
      </c>
      <c r="I20" s="30">
        <f t="shared" si="0"/>
        <v>0</v>
      </c>
      <c r="J20" s="30">
        <f t="shared" si="0"/>
        <v>0</v>
      </c>
      <c r="K20" s="30">
        <f t="shared" si="0"/>
        <v>0</v>
      </c>
      <c r="L20" s="69">
        <f>SUM( $I$20:$K$20)</f>
        <v>0</v>
      </c>
      <c r="N20" s="70" t="s">
        <v>102</v>
      </c>
      <c r="O20" s="70" t="s">
        <v>89</v>
      </c>
      <c r="P20" s="157"/>
    </row>
    <row r="21" spans="1:16" s="69" customFormat="1" x14ac:dyDescent="0.15">
      <c r="A21" s="71"/>
      <c r="B21" s="71"/>
      <c r="C21" s="72"/>
      <c r="D21" s="68" t="s">
        <v>144</v>
      </c>
      <c r="G21" s="73" t="s">
        <v>20</v>
      </c>
      <c r="H21" s="73">
        <v>0</v>
      </c>
      <c r="I21" s="30">
        <v>0</v>
      </c>
      <c r="J21" s="30">
        <f t="shared" si="0"/>
        <v>0</v>
      </c>
      <c r="K21" s="30">
        <f t="shared" si="0"/>
        <v>0</v>
      </c>
      <c r="L21" s="69">
        <f>SUM( $I$21:$K$21)</f>
        <v>0</v>
      </c>
      <c r="N21" s="70" t="s">
        <v>102</v>
      </c>
      <c r="O21" s="70" t="s">
        <v>88</v>
      </c>
      <c r="P21" s="157"/>
    </row>
    <row r="22" spans="1:16" x14ac:dyDescent="0.15">
      <c r="A22" s="71"/>
      <c r="B22" s="71"/>
      <c r="C22" s="72"/>
      <c r="D22" s="68" t="s">
        <v>145</v>
      </c>
      <c r="E22" s="69"/>
      <c r="F22" s="69"/>
      <c r="G22" s="73" t="s">
        <v>20</v>
      </c>
      <c r="H22" s="73">
        <v>0</v>
      </c>
      <c r="I22" s="30">
        <f t="shared" si="0"/>
        <v>0</v>
      </c>
      <c r="J22" s="30">
        <f t="shared" si="0"/>
        <v>0</v>
      </c>
      <c r="K22" s="30">
        <f t="shared" si="0"/>
        <v>0</v>
      </c>
      <c r="L22" s="69">
        <f>SUM( $I$22:$K$22)</f>
        <v>0</v>
      </c>
      <c r="N22" s="40" t="s">
        <v>102</v>
      </c>
      <c r="O22" s="40" t="s">
        <v>103</v>
      </c>
    </row>
    <row r="23" spans="1:16" x14ac:dyDescent="0.15">
      <c r="A23" s="45"/>
      <c r="B23" s="45"/>
      <c r="C23" s="46"/>
      <c r="D23" s="64" t="s">
        <v>69</v>
      </c>
      <c r="E23" s="47"/>
      <c r="F23" s="47"/>
      <c r="G23" s="46"/>
      <c r="H23" s="46"/>
      <c r="I23" s="46">
        <f>SUM(I18:I22)+I17+I13</f>
        <v>20218.333333333332</v>
      </c>
      <c r="J23" s="46">
        <f>SUM(J18:J22)+J17+J13</f>
        <v>20824.883328639466</v>
      </c>
      <c r="K23" s="46">
        <f>SUM(K18:K22)+K17+K13</f>
        <v>38933.62982366397</v>
      </c>
      <c r="L23" s="46">
        <f>SUM( $I$23:$K$23)</f>
        <v>79976.846485636765</v>
      </c>
      <c r="M23" s="46"/>
      <c r="N23" s="51"/>
      <c r="O23" s="51"/>
      <c r="P23" s="154"/>
    </row>
    <row r="24" spans="1:16" ht="21.75" customHeight="1" x14ac:dyDescent="0.15">
      <c r="A24" s="67" t="s">
        <v>104</v>
      </c>
      <c r="B24" s="67"/>
      <c r="C24" s="68" t="s">
        <v>70</v>
      </c>
      <c r="D24" s="69"/>
      <c r="E24" s="69"/>
      <c r="F24" s="69"/>
      <c r="G24" s="78" t="s">
        <v>131</v>
      </c>
      <c r="H24" s="78">
        <v>0</v>
      </c>
      <c r="I24" s="69">
        <f>(SUMIF($O10:$O22,"FF",I10:I22)*I5) + (SUMIF($O10:$O22,"PF",I10:I22)*I6) + (SUMIF($O10:$O22,"PD",I10:I22)*I7)</f>
        <v>1698.3399771029749</v>
      </c>
      <c r="J24" s="69">
        <f>(SUMIF($O10:$O22,"FF",J10:J22)*J5) + (SUMIF($O10:$O22,"PF",J10:J22)*J6) + (SUMIF($O10:$O22,"PD",J10:J22)*J7)</f>
        <v>1749.2901760217794</v>
      </c>
      <c r="K24" s="69">
        <f>(SUMIF($O10:$O22,"FF",K10:K22)*K5) + (SUMIF($O10:$O22,"PF",K10:K22)*K6) + (SUMIF($O10:$O22,"PD",K10:K22)*K7)</f>
        <v>1801.7688808963198</v>
      </c>
      <c r="L24" s="79">
        <f>SUM( $I$24:$K$24)</f>
        <v>5249.3990340210748</v>
      </c>
      <c r="N24" s="40" t="s">
        <v>102</v>
      </c>
    </row>
    <row r="25" spans="1:16" ht="26.25" customHeight="1" x14ac:dyDescent="0.15">
      <c r="A25" s="45"/>
      <c r="B25" s="45"/>
      <c r="C25" s="46"/>
      <c r="D25" s="64" t="s">
        <v>71</v>
      </c>
      <c r="E25" s="47"/>
      <c r="F25" s="47"/>
      <c r="G25" s="46"/>
      <c r="H25" s="46"/>
      <c r="I25" s="46">
        <f>SUM(I23+I24)</f>
        <v>21916.673310436308</v>
      </c>
      <c r="J25" s="46">
        <f>SUM(J23+J24)</f>
        <v>22574.173504661245</v>
      </c>
      <c r="K25" s="46">
        <f>SUM(K23+K24)</f>
        <v>40735.398704560292</v>
      </c>
      <c r="L25" s="46">
        <f>SUM( $I$25:$K$25)</f>
        <v>85226.245519657852</v>
      </c>
      <c r="M25" s="46"/>
      <c r="N25" s="51"/>
      <c r="O25" s="51"/>
      <c r="P25" s="154"/>
    </row>
    <row r="26" spans="1:16" x14ac:dyDescent="0.15">
      <c r="A26" s="37" t="s">
        <v>105</v>
      </c>
      <c r="B26" s="37"/>
      <c r="C26" s="38" t="s">
        <v>72</v>
      </c>
      <c r="G26" s="78">
        <v>721100</v>
      </c>
      <c r="H26" s="78">
        <v>0</v>
      </c>
      <c r="I26" s="88">
        <v>0</v>
      </c>
      <c r="J26" s="88">
        <v>0</v>
      </c>
      <c r="K26" s="88">
        <v>5456</v>
      </c>
      <c r="L26" s="38">
        <f>SUM( $I$26:$K$26)</f>
        <v>5456</v>
      </c>
      <c r="N26" s="40" t="s">
        <v>106</v>
      </c>
    </row>
    <row r="27" spans="1:16" x14ac:dyDescent="0.15">
      <c r="A27" s="37" t="s">
        <v>105</v>
      </c>
      <c r="B27" s="37"/>
      <c r="C27" s="38" t="s">
        <v>73</v>
      </c>
      <c r="G27" s="78">
        <v>740000</v>
      </c>
      <c r="H27" s="78">
        <v>0</v>
      </c>
      <c r="I27" s="88">
        <v>20000</v>
      </c>
      <c r="J27" s="88">
        <v>0</v>
      </c>
      <c r="K27" s="88">
        <v>0</v>
      </c>
      <c r="L27" s="38">
        <f>SUM( $I$27:$K$27)</f>
        <v>20000</v>
      </c>
      <c r="N27" s="40" t="s">
        <v>106</v>
      </c>
    </row>
    <row r="28" spans="1:16" x14ac:dyDescent="0.15">
      <c r="A28" s="89" t="s">
        <v>105</v>
      </c>
      <c r="B28" s="89"/>
      <c r="C28" s="38" t="s">
        <v>74</v>
      </c>
      <c r="G28" s="78">
        <v>710000</v>
      </c>
      <c r="H28" s="78">
        <v>0</v>
      </c>
      <c r="I28" s="88">
        <v>2000</v>
      </c>
      <c r="J28" s="88">
        <v>2000</v>
      </c>
      <c r="K28" s="88">
        <v>2000</v>
      </c>
      <c r="L28" s="38">
        <f>SUM( $I$28:$K$28)</f>
        <v>6000</v>
      </c>
      <c r="N28" s="40" t="s">
        <v>102</v>
      </c>
    </row>
    <row r="29" spans="1:16" x14ac:dyDescent="0.15">
      <c r="A29" s="80"/>
      <c r="B29" s="45"/>
      <c r="C29" s="46" t="s">
        <v>75</v>
      </c>
      <c r="D29" s="46"/>
      <c r="E29" s="47"/>
      <c r="F29" s="47"/>
      <c r="G29" s="81"/>
      <c r="H29" s="81"/>
      <c r="I29" s="46"/>
      <c r="J29" s="46"/>
      <c r="K29" s="46"/>
      <c r="L29" s="46">
        <f>SUM( $I$29:$K$29)</f>
        <v>0</v>
      </c>
      <c r="M29" s="46"/>
      <c r="N29" s="51"/>
      <c r="O29" s="51"/>
      <c r="P29" s="154"/>
    </row>
    <row r="30" spans="1:16" x14ac:dyDescent="0.15">
      <c r="A30" s="89" t="s">
        <v>105</v>
      </c>
      <c r="B30" s="89"/>
      <c r="D30" s="38" t="s">
        <v>96</v>
      </c>
      <c r="G30" s="78">
        <v>711200</v>
      </c>
      <c r="H30" s="78">
        <v>0</v>
      </c>
      <c r="I30" s="88">
        <v>53000</v>
      </c>
      <c r="J30" s="88">
        <v>62000</v>
      </c>
      <c r="K30" s="88">
        <v>40000</v>
      </c>
      <c r="L30" s="38">
        <f>SUM( $I$30:$K$30)</f>
        <v>155000</v>
      </c>
      <c r="N30" s="40" t="s">
        <v>102</v>
      </c>
    </row>
    <row r="31" spans="1:16" x14ac:dyDescent="0.15">
      <c r="A31" s="89" t="s">
        <v>105</v>
      </c>
      <c r="B31" s="89"/>
      <c r="D31" s="38" t="s">
        <v>97</v>
      </c>
      <c r="G31" s="78">
        <v>711200</v>
      </c>
      <c r="H31" s="78">
        <v>0</v>
      </c>
      <c r="I31" s="88">
        <v>0</v>
      </c>
      <c r="J31" s="88">
        <v>4000</v>
      </c>
      <c r="K31" s="88">
        <v>4000</v>
      </c>
      <c r="L31" s="38">
        <f>SUM( $I$31:$K$31)</f>
        <v>8000</v>
      </c>
      <c r="N31" s="40" t="s">
        <v>102</v>
      </c>
    </row>
    <row r="32" spans="1:16" x14ac:dyDescent="0.15">
      <c r="A32" s="89" t="s">
        <v>105</v>
      </c>
      <c r="B32" s="89"/>
      <c r="D32" s="38" t="s">
        <v>98</v>
      </c>
      <c r="G32" s="78">
        <v>717000</v>
      </c>
      <c r="H32" s="78">
        <v>0</v>
      </c>
      <c r="I32" s="88">
        <v>0</v>
      </c>
      <c r="J32" s="88">
        <v>0</v>
      </c>
      <c r="K32" s="88">
        <v>0</v>
      </c>
      <c r="L32" s="38">
        <f>SUM( $I$32:$K$32)</f>
        <v>0</v>
      </c>
      <c r="N32" s="40" t="s">
        <v>102</v>
      </c>
    </row>
    <row r="33" spans="1:16" x14ac:dyDescent="0.15">
      <c r="A33" s="89" t="s">
        <v>105</v>
      </c>
      <c r="B33" s="90"/>
      <c r="D33" s="38" t="s">
        <v>99</v>
      </c>
      <c r="G33" s="78">
        <v>711200</v>
      </c>
      <c r="H33" s="78">
        <v>0</v>
      </c>
      <c r="I33" s="88">
        <v>0</v>
      </c>
      <c r="J33" s="88">
        <v>0</v>
      </c>
      <c r="K33" s="88">
        <v>0</v>
      </c>
      <c r="L33" s="38">
        <f>SUM( $I$33:$K$33)</f>
        <v>0</v>
      </c>
      <c r="N33" s="40" t="s">
        <v>102</v>
      </c>
    </row>
    <row r="34" spans="1:16" x14ac:dyDescent="0.15">
      <c r="A34" s="82" t="s">
        <v>105</v>
      </c>
      <c r="B34" s="37"/>
      <c r="D34" s="38" t="s">
        <v>50</v>
      </c>
      <c r="G34" s="78"/>
      <c r="H34" s="78">
        <v>0</v>
      </c>
      <c r="I34" s="38">
        <v>0</v>
      </c>
      <c r="J34" s="38">
        <v>0</v>
      </c>
      <c r="K34" s="38">
        <v>0</v>
      </c>
      <c r="L34" s="38">
        <f>SUM( $I$34:$K$34)</f>
        <v>0</v>
      </c>
      <c r="N34" s="40" t="s">
        <v>102</v>
      </c>
    </row>
    <row r="35" spans="1:16" x14ac:dyDescent="0.15">
      <c r="A35" s="82" t="s">
        <v>105</v>
      </c>
      <c r="B35" s="37"/>
      <c r="D35" s="38" t="s">
        <v>51</v>
      </c>
      <c r="G35" s="78"/>
      <c r="H35" s="78">
        <v>0</v>
      </c>
      <c r="I35" s="38">
        <v>0</v>
      </c>
      <c r="J35" s="38">
        <v>0</v>
      </c>
      <c r="K35" s="38">
        <v>0</v>
      </c>
      <c r="L35" s="38">
        <f>SUM( $I$35:$K$35)</f>
        <v>0</v>
      </c>
      <c r="N35" s="40" t="s">
        <v>106</v>
      </c>
    </row>
    <row r="36" spans="1:16" x14ac:dyDescent="0.15">
      <c r="A36" s="80"/>
      <c r="B36" s="45"/>
      <c r="C36" s="46"/>
      <c r="D36" s="46" t="s">
        <v>49</v>
      </c>
      <c r="E36" s="47"/>
      <c r="F36" s="47"/>
      <c r="G36" s="81">
        <v>730001</v>
      </c>
      <c r="H36" s="81">
        <v>0</v>
      </c>
      <c r="I36" s="46">
        <f>SUM(I34:I35)</f>
        <v>0</v>
      </c>
      <c r="J36" s="46">
        <f>SUM(J34:J35)</f>
        <v>0</v>
      </c>
      <c r="K36" s="46">
        <f>SUM(K34:K35)</f>
        <v>0</v>
      </c>
      <c r="L36" s="46">
        <f>SUM( $I$36:$K$36)</f>
        <v>0</v>
      </c>
      <c r="M36" s="46"/>
      <c r="N36" s="51"/>
      <c r="O36" s="51"/>
      <c r="P36" s="154"/>
    </row>
    <row r="37" spans="1:16" x14ac:dyDescent="0.15">
      <c r="A37" s="89" t="s">
        <v>105</v>
      </c>
      <c r="B37" s="90"/>
      <c r="D37" s="38" t="s">
        <v>5</v>
      </c>
      <c r="G37" s="78">
        <v>717200</v>
      </c>
      <c r="H37" s="78">
        <v>0</v>
      </c>
      <c r="I37" s="88">
        <v>0</v>
      </c>
      <c r="J37" s="88">
        <v>0</v>
      </c>
      <c r="K37" s="88">
        <v>0</v>
      </c>
      <c r="L37" s="38">
        <f>SUM( $I$37:$K$37)</f>
        <v>0</v>
      </c>
      <c r="N37" s="40" t="s">
        <v>102</v>
      </c>
    </row>
    <row r="38" spans="1:16" x14ac:dyDescent="0.15">
      <c r="A38" s="89" t="s">
        <v>105</v>
      </c>
      <c r="B38" s="89"/>
      <c r="D38" s="38" t="s">
        <v>6</v>
      </c>
      <c r="G38" s="78">
        <v>722200</v>
      </c>
      <c r="H38" s="78">
        <v>0</v>
      </c>
      <c r="I38" s="88">
        <v>4000</v>
      </c>
      <c r="J38" s="88">
        <v>4000</v>
      </c>
      <c r="K38" s="88">
        <v>4000</v>
      </c>
      <c r="L38" s="38">
        <f>SUM( $I$38:$K$38)</f>
        <v>12000</v>
      </c>
      <c r="N38" s="40" t="s">
        <v>106</v>
      </c>
    </row>
    <row r="39" spans="1:16" x14ac:dyDescent="0.15">
      <c r="A39" s="89" t="s">
        <v>105</v>
      </c>
      <c r="B39" s="89"/>
      <c r="D39" s="38" t="s">
        <v>52</v>
      </c>
      <c r="H39" s="78">
        <v>0</v>
      </c>
      <c r="I39" s="88">
        <v>0</v>
      </c>
      <c r="J39" s="88">
        <v>0</v>
      </c>
      <c r="K39" s="88">
        <v>0</v>
      </c>
      <c r="L39" s="38">
        <f>SUM( $I$39:$K$39)</f>
        <v>0</v>
      </c>
      <c r="N39" s="63" t="s">
        <v>102</v>
      </c>
    </row>
    <row r="40" spans="1:16" x14ac:dyDescent="0.15">
      <c r="A40" s="89" t="s">
        <v>105</v>
      </c>
      <c r="B40" s="89"/>
      <c r="D40" s="38" t="s">
        <v>53</v>
      </c>
      <c r="H40" s="78">
        <v>0</v>
      </c>
      <c r="I40" s="88">
        <v>0</v>
      </c>
      <c r="J40" s="88">
        <v>0</v>
      </c>
      <c r="K40" s="88">
        <v>0</v>
      </c>
      <c r="L40" s="38">
        <f>SUM( $I$40:$K$40)</f>
        <v>0</v>
      </c>
      <c r="N40" s="40" t="s">
        <v>106</v>
      </c>
    </row>
    <row r="41" spans="1:16" ht="30.75" customHeight="1" x14ac:dyDescent="0.15">
      <c r="A41" s="46"/>
      <c r="B41" s="46"/>
      <c r="C41" s="46"/>
      <c r="D41" s="46" t="s">
        <v>76</v>
      </c>
      <c r="E41" s="47"/>
      <c r="F41" s="47"/>
      <c r="G41" s="46"/>
      <c r="H41" s="46">
        <f>SUM(H25:H35,H37:H40)</f>
        <v>0</v>
      </c>
      <c r="I41" s="46">
        <f>SUM(I25:I35,I37:I40)</f>
        <v>100916.67331043631</v>
      </c>
      <c r="J41" s="46">
        <f>SUM(J25:J35,J37:J40)</f>
        <v>94574.173504661245</v>
      </c>
      <c r="K41" s="46">
        <f>SUM(K25:K35,K37:K40)</f>
        <v>96191.398704560299</v>
      </c>
      <c r="L41" s="46">
        <f>SUM( $I$41:$K$41)</f>
        <v>291682.24551965785</v>
      </c>
      <c r="M41" s="46"/>
      <c r="N41" s="51"/>
      <c r="O41" s="51"/>
      <c r="P41" s="154"/>
    </row>
    <row r="42" spans="1:16" s="106" customFormat="1" ht="15.75" customHeight="1" x14ac:dyDescent="0.15">
      <c r="D42" s="106" t="s">
        <v>11</v>
      </c>
      <c r="E42" s="107"/>
      <c r="F42" s="107"/>
      <c r="H42" s="106">
        <f>SUMIF($N$10:$N$40,"Y",H10:H40)</f>
        <v>12833.333333333332</v>
      </c>
      <c r="I42" s="106">
        <f>SUMIF($N$10:$N$40,"Y",I10:I40)</f>
        <v>76916.673310436308</v>
      </c>
      <c r="J42" s="106">
        <f>SUMIF($N$10:$N$40,"Y",J10:J40)</f>
        <v>90574.173504661245</v>
      </c>
      <c r="K42" s="106">
        <f>SUMIF($N$10:$N$40,"Y",K10:K40)</f>
        <v>86735.398704560299</v>
      </c>
      <c r="L42" s="106">
        <f>SUM( $I$42:$K$42)</f>
        <v>254226.24551965785</v>
      </c>
      <c r="N42" s="107"/>
      <c r="O42" s="107"/>
      <c r="P42" s="159"/>
    </row>
    <row r="43" spans="1:16" ht="28" customHeight="1" x14ac:dyDescent="0.15">
      <c r="C43" s="38" t="s">
        <v>77</v>
      </c>
      <c r="G43" s="78"/>
      <c r="H43" s="38">
        <f>H4*H42</f>
        <v>0</v>
      </c>
      <c r="I43" s="38">
        <f>I4*I42</f>
        <v>37945.559322171619</v>
      </c>
      <c r="J43" s="38">
        <f>J4*J42</f>
        <v>45249.347549361293</v>
      </c>
      <c r="K43" s="38">
        <f>K4*K42</f>
        <v>43765.238802137974</v>
      </c>
      <c r="L43" s="38">
        <f>SUM( $I$43:$K$43)</f>
        <v>126960.14567367088</v>
      </c>
    </row>
    <row r="44" spans="1:16" ht="32" customHeight="1" x14ac:dyDescent="0.15">
      <c r="A44" s="46"/>
      <c r="B44" s="46"/>
      <c r="C44" s="46"/>
      <c r="D44" s="46" t="s">
        <v>12</v>
      </c>
      <c r="E44" s="47"/>
      <c r="F44" s="47"/>
      <c r="G44" s="46"/>
      <c r="H44" s="46">
        <f>SUM(H43+H41)</f>
        <v>0</v>
      </c>
      <c r="I44" s="46">
        <f>SUM(I43+I41)</f>
        <v>138862.23263260792</v>
      </c>
      <c r="J44" s="46">
        <f>SUM(J43+J41)</f>
        <v>139823.52105402254</v>
      </c>
      <c r="K44" s="46">
        <f>SUM(K43+K41)</f>
        <v>139956.63750669826</v>
      </c>
      <c r="L44" s="46">
        <f>SUM( $I$44:$K$44)</f>
        <v>418642.39119332872</v>
      </c>
      <c r="M44" s="46"/>
      <c r="N44" s="51"/>
      <c r="O44" s="51"/>
      <c r="P44" s="154"/>
    </row>
    <row r="45" spans="1:16" ht="29" customHeight="1" x14ac:dyDescent="0.15">
      <c r="C45" s="38" t="s">
        <v>14</v>
      </c>
      <c r="E45" s="78"/>
      <c r="F45" s="78"/>
      <c r="L45" s="38">
        <f>SUM( $I$45:$K$45)</f>
        <v>0</v>
      </c>
    </row>
    <row r="46" spans="1:16" x14ac:dyDescent="0.15">
      <c r="C46" s="38" t="s">
        <v>13</v>
      </c>
      <c r="L46" s="38">
        <f>SUM( $I$46:$K$46)</f>
        <v>0</v>
      </c>
    </row>
    <row r="47" spans="1:16" ht="29" customHeight="1" x14ac:dyDescent="0.15">
      <c r="A47" s="46"/>
      <c r="B47" s="46"/>
      <c r="C47" s="46"/>
      <c r="D47" s="46" t="s">
        <v>78</v>
      </c>
      <c r="E47" s="47"/>
      <c r="F47" s="47"/>
      <c r="G47" s="46"/>
      <c r="H47" s="46">
        <f>SUM(H46+H45+H44)</f>
        <v>0</v>
      </c>
      <c r="I47" s="46">
        <f>SUM(I46+I45+I44)</f>
        <v>138862.23263260792</v>
      </c>
      <c r="J47" s="46">
        <f>SUM(J46+J45+J44)</f>
        <v>139823.52105402254</v>
      </c>
      <c r="K47" s="46">
        <f>SUM(K46+K45+K44)</f>
        <v>139956.63750669826</v>
      </c>
      <c r="L47" s="46">
        <f>SUM( $I$47:$K$47)</f>
        <v>418642.39119332872</v>
      </c>
      <c r="M47" s="46"/>
      <c r="N47" s="51"/>
      <c r="O47" s="51"/>
      <c r="P47" s="154"/>
    </row>
    <row r="53" spans="1:4" x14ac:dyDescent="0.15">
      <c r="A53" s="62"/>
      <c r="B53" s="62"/>
      <c r="C53" s="62"/>
      <c r="D53" s="62"/>
    </row>
  </sheetData>
  <sheetProtection password="E81C" sheet="1" objects="1" scenarios="1" selectLockedCells="1"/>
  <phoneticPr fontId="7"/>
  <dataValidations count="3">
    <dataValidation type="list" allowBlank="1" showInputMessage="1" showErrorMessage="1" sqref="A37:A40 A14 A28 A30:A33 A11:A12">
      <formula1>InflationModeList</formula1>
    </dataValidation>
    <dataValidation type="list" allowBlank="1" showInputMessage="1" showErrorMessage="1" sqref="N10:N47">
      <formula1>InBaseList</formula1>
    </dataValidation>
    <dataValidation type="list" allowBlank="1" showInputMessage="1" showErrorMessage="1" sqref="O10:O22">
      <formula1>FBRateTypeList</formula1>
    </dataValidation>
  </dataValidations>
  <pageMargins left="0.5" right="0.26" top="1" bottom="1" header="0.5" footer="0.5"/>
  <pageSetup orientation="landscape" horizontalDpi="4294967292" verticalDpi="4294967292" r:id="rId1"/>
  <headerFooter alignWithMargins="0">
    <oddHeader>&amp;LConsolidated Sponsor Budget</oddHeader>
    <oddFooter>&amp;L&amp;"Trebuchet MS,Regular"&amp;9Last saved on:  &amp;D &amp;T&amp;R&amp;"Trebuchet MS,Regular"&amp;9&amp;P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9" r:id="rId4" name="Button 39">
              <controlPr defaultSize="0" print="0" autoFill="0" autoPict="0" macro="[0]!ProcessInflationMode">
                <anchor moveWithCells="1">
                  <from>
                    <xdr:col>0</xdr:col>
                    <xdr:colOff>0</xdr:colOff>
                    <xdr:row>24</xdr:row>
                    <xdr:rowOff>25400</xdr:rowOff>
                  </from>
                  <to>
                    <xdr:col>2</xdr:col>
                    <xdr:colOff>190500</xdr:colOff>
                    <xdr:row>24</xdr:row>
                    <xdr:rowOff>266700</xdr:rowOff>
                  </to>
                </anchor>
              </controlPr>
            </control>
          </mc:Choice>
          <mc:Fallback/>
        </mc:AlternateContent>
        <mc:AlternateContent xmlns:mc="http://schemas.openxmlformats.org/markup-compatibility/2006">
          <mc:Choice Requires="x14">
            <control shapeId="5178" r:id="rId5" name="Button 58">
              <controlPr defaultSize="0" print="0" autoFill="0" autoPict="0" macro="[0]!ProcessFacultyInflation">
                <anchor moveWithCells="1">
                  <from>
                    <xdr:col>2</xdr:col>
                    <xdr:colOff>25400</xdr:colOff>
                    <xdr:row>8</xdr:row>
                    <xdr:rowOff>127000</xdr:rowOff>
                  </from>
                  <to>
                    <xdr:col>3</xdr:col>
                    <xdr:colOff>952500</xdr:colOff>
                    <xdr:row>8</xdr:row>
                    <xdr:rowOff>431800</xdr:rowOff>
                  </to>
                </anchor>
              </controlPr>
            </control>
          </mc:Choice>
          <mc:Fallback/>
        </mc:AlternateContent>
        <mc:AlternateContent xmlns:mc="http://schemas.openxmlformats.org/markup-compatibility/2006">
          <mc:Choice Requires="x14">
            <control shapeId="5184" r:id="rId6" name="Button 64">
              <controlPr defaultSize="0" print="0" autoFill="0" autoPict="0" macro="[0]!Module2.ProcessInflationMode">
                <anchor moveWithCells="1">
                  <from>
                    <xdr:col>0</xdr:col>
                    <xdr:colOff>0</xdr:colOff>
                    <xdr:row>24</xdr:row>
                    <xdr:rowOff>25400</xdr:rowOff>
                  </from>
                  <to>
                    <xdr:col>2</xdr:col>
                    <xdr:colOff>190500</xdr:colOff>
                    <xdr:row>24</xdr:row>
                    <xdr:rowOff>266700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O46"/>
  <sheetViews>
    <sheetView workbookViewId="0">
      <selection sqref="A1:C1"/>
    </sheetView>
  </sheetViews>
  <sheetFormatPr baseColWidth="10" defaultColWidth="11.5" defaultRowHeight="13" x14ac:dyDescent="0.15"/>
  <cols>
    <col min="1" max="1" width="29" style="113" customWidth="1"/>
    <col min="2" max="5" width="11.5" style="113" customWidth="1"/>
    <col min="6" max="6" width="1.5" style="114" customWidth="1"/>
    <col min="7" max="7" width="3.83203125" style="115" bestFit="1" customWidth="1"/>
    <col min="8" max="16384" width="11.5" style="113"/>
  </cols>
  <sheetData>
    <row r="1" spans="1:15" x14ac:dyDescent="0.15">
      <c r="A1" s="183" t="s">
        <v>212</v>
      </c>
      <c r="B1" s="184"/>
      <c r="C1" s="184"/>
      <c r="D1" s="184"/>
      <c r="E1" s="184"/>
    </row>
    <row r="2" spans="1:15" s="62" customFormat="1" ht="23" customHeight="1" x14ac:dyDescent="0.15">
      <c r="A2" s="49" t="s">
        <v>33</v>
      </c>
      <c r="B2" s="50">
        <v>0.49333333969116211</v>
      </c>
      <c r="C2" s="50">
        <v>0.49958333373069763</v>
      </c>
      <c r="D2" s="50">
        <v>0.50458335876464844</v>
      </c>
      <c r="E2" s="45"/>
      <c r="F2" s="46"/>
      <c r="G2" s="47"/>
      <c r="H2" s="116"/>
      <c r="J2" s="117"/>
      <c r="K2" s="118"/>
      <c r="L2" s="118"/>
      <c r="N2" s="119"/>
      <c r="O2" s="119"/>
    </row>
    <row r="3" spans="1:15" s="125" customFormat="1" x14ac:dyDescent="0.15">
      <c r="A3" s="120" t="s">
        <v>139</v>
      </c>
      <c r="B3" s="121" t="s">
        <v>100</v>
      </c>
      <c r="C3" s="121" t="s">
        <v>216</v>
      </c>
      <c r="D3" s="121" t="s">
        <v>217</v>
      </c>
      <c r="E3" s="121" t="s">
        <v>59</v>
      </c>
      <c r="F3" s="122"/>
      <c r="G3" s="123" t="s">
        <v>28</v>
      </c>
      <c r="H3" s="124"/>
    </row>
    <row r="4" spans="1:15" x14ac:dyDescent="0.15">
      <c r="A4" s="33" t="s">
        <v>82</v>
      </c>
      <c r="B4" s="34">
        <v>0</v>
      </c>
      <c r="C4" s="34">
        <v>0</v>
      </c>
      <c r="D4" s="34">
        <v>0</v>
      </c>
      <c r="E4" s="126">
        <f>SUM( $B$4:$D$4)</f>
        <v>0</v>
      </c>
      <c r="F4" s="148"/>
      <c r="G4" s="149" t="s">
        <v>3</v>
      </c>
    </row>
    <row r="5" spans="1:15" x14ac:dyDescent="0.15">
      <c r="A5" s="33" t="s">
        <v>83</v>
      </c>
      <c r="B5" s="34">
        <v>0</v>
      </c>
      <c r="C5" s="34">
        <v>0</v>
      </c>
      <c r="D5" s="34">
        <v>0</v>
      </c>
      <c r="E5" s="126">
        <f>SUM( $B$5:$D$5)</f>
        <v>0</v>
      </c>
      <c r="F5" s="148"/>
      <c r="G5" s="149" t="s">
        <v>3</v>
      </c>
    </row>
    <row r="6" spans="1:15" x14ac:dyDescent="0.15">
      <c r="A6" s="33" t="s">
        <v>84</v>
      </c>
      <c r="B6" s="34">
        <v>0</v>
      </c>
      <c r="C6" s="34">
        <v>0</v>
      </c>
      <c r="D6" s="34">
        <v>0</v>
      </c>
      <c r="E6" s="126">
        <f>SUM( $B$6:$D$6)</f>
        <v>0</v>
      </c>
      <c r="F6" s="148"/>
      <c r="G6" s="149" t="s">
        <v>3</v>
      </c>
    </row>
    <row r="7" spans="1:15" x14ac:dyDescent="0.15">
      <c r="A7" s="33" t="s">
        <v>85</v>
      </c>
      <c r="B7" s="34">
        <v>0</v>
      </c>
      <c r="C7" s="34">
        <v>0</v>
      </c>
      <c r="D7" s="34">
        <v>0</v>
      </c>
      <c r="E7" s="126">
        <f>SUM( $B$7:$D$7)</f>
        <v>0</v>
      </c>
      <c r="F7" s="148"/>
      <c r="G7" s="149" t="s">
        <v>3</v>
      </c>
    </row>
    <row r="8" spans="1:15" x14ac:dyDescent="0.15">
      <c r="A8" s="33" t="s">
        <v>86</v>
      </c>
      <c r="B8" s="34">
        <v>0</v>
      </c>
      <c r="C8" s="34">
        <v>0</v>
      </c>
      <c r="D8" s="34">
        <v>0</v>
      </c>
      <c r="E8" s="126">
        <f>SUM( $B$8:$D$8)</f>
        <v>0</v>
      </c>
      <c r="F8" s="148"/>
      <c r="G8" s="149" t="s">
        <v>3</v>
      </c>
    </row>
    <row r="9" spans="1:15" x14ac:dyDescent="0.15">
      <c r="A9" s="33" t="s">
        <v>158</v>
      </c>
      <c r="B9" s="34">
        <v>0</v>
      </c>
      <c r="C9" s="34">
        <v>0</v>
      </c>
      <c r="D9" s="34">
        <v>0</v>
      </c>
      <c r="E9" s="126">
        <f>SUM( $B$9:$D$9)</f>
        <v>0</v>
      </c>
      <c r="F9" s="148"/>
      <c r="G9" s="149" t="s">
        <v>3</v>
      </c>
    </row>
    <row r="10" spans="1:15" x14ac:dyDescent="0.15">
      <c r="A10" s="33" t="s">
        <v>159</v>
      </c>
      <c r="B10" s="34">
        <v>0</v>
      </c>
      <c r="C10" s="34">
        <v>0</v>
      </c>
      <c r="D10" s="34">
        <v>0</v>
      </c>
      <c r="E10" s="126">
        <f>SUM( $B$10:$D$10)</f>
        <v>0</v>
      </c>
      <c r="F10" s="148"/>
      <c r="G10" s="149" t="s">
        <v>3</v>
      </c>
    </row>
    <row r="11" spans="1:15" x14ac:dyDescent="0.15">
      <c r="A11" s="33" t="s">
        <v>160</v>
      </c>
      <c r="B11" s="34">
        <v>0</v>
      </c>
      <c r="C11" s="34">
        <v>0</v>
      </c>
      <c r="D11" s="34">
        <v>0</v>
      </c>
      <c r="E11" s="126">
        <f>SUM( $B$11:$D$11)</f>
        <v>0</v>
      </c>
      <c r="F11" s="150"/>
      <c r="G11" s="149" t="s">
        <v>3</v>
      </c>
    </row>
    <row r="12" spans="1:15" x14ac:dyDescent="0.15">
      <c r="A12" s="33" t="s">
        <v>0</v>
      </c>
      <c r="B12" s="34">
        <v>0</v>
      </c>
      <c r="C12" s="34">
        <v>0</v>
      </c>
      <c r="D12" s="34">
        <v>0</v>
      </c>
      <c r="E12" s="126">
        <f>SUM( $B$12:$D$12)</f>
        <v>0</v>
      </c>
      <c r="F12" s="150"/>
      <c r="G12" s="149" t="s">
        <v>3</v>
      </c>
    </row>
    <row r="13" spans="1:15" x14ac:dyDescent="0.15">
      <c r="A13" s="33" t="s">
        <v>1</v>
      </c>
      <c r="B13" s="35">
        <v>0</v>
      </c>
      <c r="C13" s="35">
        <v>0</v>
      </c>
      <c r="D13" s="35">
        <v>0</v>
      </c>
      <c r="E13" s="126">
        <f>SUM( $B$13:$D$13)</f>
        <v>0</v>
      </c>
      <c r="F13" s="150"/>
      <c r="G13" s="149" t="s">
        <v>3</v>
      </c>
    </row>
    <row r="14" spans="1:15" x14ac:dyDescent="0.15">
      <c r="A14" s="130" t="s">
        <v>76</v>
      </c>
      <c r="B14" s="131">
        <f>SUM(B4:B13)</f>
        <v>0</v>
      </c>
      <c r="C14" s="131">
        <f>SUM(C4:C13)</f>
        <v>0</v>
      </c>
      <c r="D14" s="131">
        <f>SUM(D4:D13)</f>
        <v>0</v>
      </c>
      <c r="E14" s="131">
        <f>SUM( $B$14:$D$14)</f>
        <v>0</v>
      </c>
      <c r="F14" s="132"/>
      <c r="G14" s="123"/>
    </row>
    <row r="15" spans="1:15" s="125" customFormat="1" ht="37" customHeight="1" x14ac:dyDescent="0.15">
      <c r="A15" s="133"/>
      <c r="B15" s="124"/>
      <c r="C15" s="124"/>
      <c r="D15" s="124"/>
      <c r="E15" s="124"/>
      <c r="F15" s="60"/>
      <c r="G15" s="134"/>
    </row>
    <row r="16" spans="1:15" x14ac:dyDescent="0.15">
      <c r="A16" s="135" t="s">
        <v>91</v>
      </c>
      <c r="B16" s="121"/>
      <c r="C16" s="121"/>
      <c r="D16" s="121"/>
      <c r="E16" s="121" t="str">
        <f>E3</f>
        <v>Total</v>
      </c>
      <c r="F16" s="132"/>
      <c r="G16" s="123"/>
    </row>
    <row r="17" spans="1:8" x14ac:dyDescent="0.15">
      <c r="A17" s="136" t="str">
        <f t="shared" ref="A17:A26" si="0">A4</f>
        <v>Sub #1</v>
      </c>
      <c r="B17" s="126">
        <v>0</v>
      </c>
      <c r="C17" s="126">
        <v>0</v>
      </c>
      <c r="D17" s="126">
        <v>0</v>
      </c>
      <c r="E17" s="126">
        <f>SUM( $B$17:$D$17)</f>
        <v>0</v>
      </c>
      <c r="F17" s="129"/>
      <c r="G17" s="128"/>
    </row>
    <row r="18" spans="1:8" x14ac:dyDescent="0.15">
      <c r="A18" s="137" t="str">
        <f t="shared" si="0"/>
        <v>Sub #2</v>
      </c>
      <c r="B18" s="126">
        <v>0</v>
      </c>
      <c r="C18" s="126">
        <v>0</v>
      </c>
      <c r="D18" s="126">
        <v>0</v>
      </c>
      <c r="E18" s="126">
        <f>SUM( $B$18:$D$18)</f>
        <v>0</v>
      </c>
      <c r="F18" s="129"/>
      <c r="G18" s="128"/>
    </row>
    <row r="19" spans="1:8" x14ac:dyDescent="0.15">
      <c r="A19" s="137" t="str">
        <f t="shared" si="0"/>
        <v>Sub #3</v>
      </c>
      <c r="B19" s="126">
        <v>0</v>
      </c>
      <c r="C19" s="126">
        <v>0</v>
      </c>
      <c r="D19" s="126">
        <v>0</v>
      </c>
      <c r="E19" s="126">
        <f>SUM( $B$19:$D$19)</f>
        <v>0</v>
      </c>
      <c r="F19" s="129"/>
      <c r="G19" s="128"/>
    </row>
    <row r="20" spans="1:8" x14ac:dyDescent="0.15">
      <c r="A20" s="137" t="str">
        <f t="shared" si="0"/>
        <v>Sub #4</v>
      </c>
      <c r="B20" s="126">
        <v>0</v>
      </c>
      <c r="C20" s="126">
        <v>0</v>
      </c>
      <c r="D20" s="126">
        <v>0</v>
      </c>
      <c r="E20" s="126">
        <f>SUM( $B$20:$D$20)</f>
        <v>0</v>
      </c>
      <c r="F20" s="127"/>
      <c r="G20" s="128"/>
    </row>
    <row r="21" spans="1:8" x14ac:dyDescent="0.15">
      <c r="A21" s="137" t="str">
        <f t="shared" si="0"/>
        <v>Sub #5</v>
      </c>
      <c r="B21" s="126">
        <v>0</v>
      </c>
      <c r="C21" s="126">
        <v>0</v>
      </c>
      <c r="D21" s="126">
        <v>0</v>
      </c>
      <c r="E21" s="126">
        <f>SUM( $B$21:$D$21)</f>
        <v>0</v>
      </c>
      <c r="F21" s="127"/>
      <c r="G21" s="128"/>
    </row>
    <row r="22" spans="1:8" x14ac:dyDescent="0.15">
      <c r="A22" s="137" t="str">
        <f t="shared" si="0"/>
        <v>Sub #6</v>
      </c>
      <c r="B22" s="126">
        <v>0</v>
      </c>
      <c r="C22" s="126">
        <v>0</v>
      </c>
      <c r="D22" s="126">
        <v>0</v>
      </c>
      <c r="E22" s="126">
        <f>SUM( $B$22:$D$22)</f>
        <v>0</v>
      </c>
      <c r="F22" s="127"/>
      <c r="G22" s="128"/>
    </row>
    <row r="23" spans="1:8" x14ac:dyDescent="0.15">
      <c r="A23" s="137" t="str">
        <f t="shared" si="0"/>
        <v>Sub #7</v>
      </c>
      <c r="B23" s="126">
        <v>0</v>
      </c>
      <c r="C23" s="126">
        <v>0</v>
      </c>
      <c r="D23" s="126">
        <v>0</v>
      </c>
      <c r="E23" s="126">
        <f>SUM( $B$23:$D$23)</f>
        <v>0</v>
      </c>
      <c r="F23" s="127"/>
      <c r="G23" s="128"/>
    </row>
    <row r="24" spans="1:8" x14ac:dyDescent="0.15">
      <c r="A24" s="137" t="str">
        <f t="shared" si="0"/>
        <v>Sub #8</v>
      </c>
      <c r="B24" s="126">
        <v>0</v>
      </c>
      <c r="C24" s="126">
        <v>0</v>
      </c>
      <c r="D24" s="126">
        <v>0</v>
      </c>
      <c r="E24" s="126">
        <f>SUM( $B$24:$D$24)</f>
        <v>0</v>
      </c>
      <c r="F24" s="127"/>
      <c r="G24" s="128"/>
    </row>
    <row r="25" spans="1:8" x14ac:dyDescent="0.15">
      <c r="A25" s="137" t="str">
        <f t="shared" si="0"/>
        <v>Sub #9</v>
      </c>
      <c r="B25" s="126">
        <v>0</v>
      </c>
      <c r="C25" s="126">
        <v>0</v>
      </c>
      <c r="D25" s="126">
        <v>0</v>
      </c>
      <c r="E25" s="126">
        <f>SUM( $B$25:$D$25)</f>
        <v>0</v>
      </c>
      <c r="F25" s="127"/>
      <c r="G25" s="128"/>
    </row>
    <row r="26" spans="1:8" x14ac:dyDescent="0.15">
      <c r="A26" s="138" t="str">
        <f t="shared" si="0"/>
        <v>Sub #10</v>
      </c>
      <c r="B26" s="126">
        <v>0</v>
      </c>
      <c r="C26" s="126">
        <v>0</v>
      </c>
      <c r="D26" s="126">
        <v>0</v>
      </c>
      <c r="E26" s="126">
        <f>SUM( $B$26:$D$26)</f>
        <v>0</v>
      </c>
      <c r="F26" s="127"/>
      <c r="G26" s="128"/>
    </row>
    <row r="27" spans="1:8" x14ac:dyDescent="0.15">
      <c r="A27" s="139" t="s">
        <v>92</v>
      </c>
      <c r="B27" s="130">
        <f>SUM(B17:B26)</f>
        <v>0</v>
      </c>
      <c r="C27" s="130">
        <f>SUM(C17:C26)</f>
        <v>0</v>
      </c>
      <c r="D27" s="130">
        <f>SUM(D17:D26)</f>
        <v>0</v>
      </c>
      <c r="E27" s="131">
        <f>SUM( $B$27:$D$27)</f>
        <v>0</v>
      </c>
      <c r="F27" s="122"/>
      <c r="G27" s="123"/>
      <c r="H27" s="140"/>
    </row>
    <row r="28" spans="1:8" x14ac:dyDescent="0.15">
      <c r="A28" s="124"/>
    </row>
    <row r="29" spans="1:8" x14ac:dyDescent="0.15">
      <c r="A29" s="124"/>
    </row>
    <row r="30" spans="1:8" x14ac:dyDescent="0.15">
      <c r="A30" s="137" t="s">
        <v>93</v>
      </c>
      <c r="B30" s="141">
        <v>0</v>
      </c>
      <c r="C30" s="141">
        <v>0</v>
      </c>
      <c r="D30" s="141">
        <v>0</v>
      </c>
      <c r="E30" s="126">
        <f>SUM( $B$30:$D$30)</f>
        <v>0</v>
      </c>
      <c r="F30" s="127"/>
      <c r="G30" s="142"/>
      <c r="H30" s="143"/>
    </row>
    <row r="31" spans="1:8" x14ac:dyDescent="0.15">
      <c r="A31" s="137" t="s">
        <v>94</v>
      </c>
      <c r="B31" s="144">
        <v>0</v>
      </c>
      <c r="C31" s="144">
        <v>0</v>
      </c>
      <c r="D31" s="144">
        <v>0</v>
      </c>
      <c r="E31" s="126">
        <f>SUM( $B$31:$D$31)</f>
        <v>0</v>
      </c>
      <c r="F31" s="127"/>
      <c r="G31" s="128"/>
      <c r="H31" s="145"/>
    </row>
    <row r="32" spans="1:8" x14ac:dyDescent="0.15">
      <c r="A32" s="146"/>
      <c r="B32" s="147"/>
      <c r="C32" s="147"/>
      <c r="D32" s="147"/>
    </row>
    <row r="33" spans="1:8" hidden="1" x14ac:dyDescent="0.15"/>
    <row r="34" spans="1:8" hidden="1" x14ac:dyDescent="0.15">
      <c r="A34" s="135" t="s">
        <v>154</v>
      </c>
      <c r="B34" s="121"/>
      <c r="C34" s="121"/>
      <c r="D34" s="121"/>
      <c r="E34" s="121" t="s">
        <v>59</v>
      </c>
      <c r="F34" s="132"/>
      <c r="G34" s="123"/>
    </row>
    <row r="35" spans="1:8" hidden="1" x14ac:dyDescent="0.15">
      <c r="A35" s="136" t="str">
        <f>A4</f>
        <v>Sub #1</v>
      </c>
      <c r="B35" s="126">
        <v>0</v>
      </c>
      <c r="C35" s="126"/>
      <c r="D35" s="126"/>
      <c r="E35" s="126">
        <f>SUM(B35)</f>
        <v>0</v>
      </c>
      <c r="F35" s="129"/>
      <c r="G35" s="128"/>
    </row>
    <row r="36" spans="1:8" hidden="1" x14ac:dyDescent="0.15">
      <c r="A36" s="137" t="str">
        <f t="shared" ref="A36:A44" si="1">A5</f>
        <v>Sub #2</v>
      </c>
      <c r="B36" s="126">
        <v>0</v>
      </c>
      <c r="C36" s="126"/>
      <c r="D36" s="126"/>
      <c r="E36" s="126">
        <f t="shared" ref="E36:E44" si="2">SUM(B36)</f>
        <v>0</v>
      </c>
      <c r="F36" s="129"/>
      <c r="G36" s="128"/>
    </row>
    <row r="37" spans="1:8" hidden="1" x14ac:dyDescent="0.15">
      <c r="A37" s="137" t="str">
        <f t="shared" si="1"/>
        <v>Sub #3</v>
      </c>
      <c r="B37" s="126">
        <v>0</v>
      </c>
      <c r="C37" s="126"/>
      <c r="D37" s="126"/>
      <c r="E37" s="126">
        <f t="shared" si="2"/>
        <v>0</v>
      </c>
      <c r="F37" s="129"/>
      <c r="G37" s="128"/>
    </row>
    <row r="38" spans="1:8" hidden="1" x14ac:dyDescent="0.15">
      <c r="A38" s="137" t="str">
        <f t="shared" si="1"/>
        <v>Sub #4</v>
      </c>
      <c r="B38" s="126">
        <v>0</v>
      </c>
      <c r="C38" s="126"/>
      <c r="D38" s="126"/>
      <c r="E38" s="126">
        <f t="shared" si="2"/>
        <v>0</v>
      </c>
      <c r="F38" s="127"/>
      <c r="G38" s="128"/>
    </row>
    <row r="39" spans="1:8" hidden="1" x14ac:dyDescent="0.15">
      <c r="A39" s="137" t="str">
        <f t="shared" si="1"/>
        <v>Sub #5</v>
      </c>
      <c r="B39" s="126">
        <v>0</v>
      </c>
      <c r="C39" s="126"/>
      <c r="D39" s="126"/>
      <c r="E39" s="126">
        <f t="shared" si="2"/>
        <v>0</v>
      </c>
      <c r="F39" s="127"/>
      <c r="G39" s="128"/>
    </row>
    <row r="40" spans="1:8" hidden="1" x14ac:dyDescent="0.15">
      <c r="A40" s="137" t="str">
        <f t="shared" si="1"/>
        <v>Sub #6</v>
      </c>
      <c r="B40" s="126">
        <v>0</v>
      </c>
      <c r="C40" s="126"/>
      <c r="D40" s="126"/>
      <c r="E40" s="126">
        <f t="shared" si="2"/>
        <v>0</v>
      </c>
      <c r="F40" s="127"/>
      <c r="G40" s="128"/>
    </row>
    <row r="41" spans="1:8" hidden="1" x14ac:dyDescent="0.15">
      <c r="A41" s="137" t="str">
        <f t="shared" si="1"/>
        <v>Sub #7</v>
      </c>
      <c r="B41" s="126">
        <v>0</v>
      </c>
      <c r="C41" s="126"/>
      <c r="D41" s="126"/>
      <c r="E41" s="126">
        <f t="shared" si="2"/>
        <v>0</v>
      </c>
      <c r="F41" s="127"/>
      <c r="G41" s="128"/>
    </row>
    <row r="42" spans="1:8" hidden="1" x14ac:dyDescent="0.15">
      <c r="A42" s="137" t="str">
        <f t="shared" si="1"/>
        <v>Sub #8</v>
      </c>
      <c r="B42" s="126">
        <v>0</v>
      </c>
      <c r="C42" s="126"/>
      <c r="D42" s="126"/>
      <c r="E42" s="126">
        <f t="shared" si="2"/>
        <v>0</v>
      </c>
      <c r="F42" s="127"/>
      <c r="G42" s="128"/>
    </row>
    <row r="43" spans="1:8" hidden="1" x14ac:dyDescent="0.15">
      <c r="A43" s="137" t="str">
        <f t="shared" si="1"/>
        <v>Sub #9</v>
      </c>
      <c r="B43" s="126">
        <v>0</v>
      </c>
      <c r="C43" s="126"/>
      <c r="D43" s="126"/>
      <c r="E43" s="126">
        <f t="shared" si="2"/>
        <v>0</v>
      </c>
      <c r="F43" s="127"/>
      <c r="G43" s="128"/>
    </row>
    <row r="44" spans="1:8" hidden="1" x14ac:dyDescent="0.15">
      <c r="A44" s="138" t="str">
        <f t="shared" si="1"/>
        <v>Sub #10</v>
      </c>
      <c r="B44" s="126">
        <v>0</v>
      </c>
      <c r="C44" s="126"/>
      <c r="D44" s="126"/>
      <c r="E44" s="126">
        <f t="shared" si="2"/>
        <v>0</v>
      </c>
      <c r="F44" s="127"/>
      <c r="G44" s="128"/>
    </row>
    <row r="45" spans="1:8" hidden="1" x14ac:dyDescent="0.15">
      <c r="A45" s="139" t="s">
        <v>155</v>
      </c>
      <c r="B45" s="130">
        <f>SUM(B35:B44)</f>
        <v>0</v>
      </c>
      <c r="C45" s="130"/>
      <c r="D45" s="130"/>
      <c r="E45" s="131">
        <f>SUM(B45)</f>
        <v>0</v>
      </c>
      <c r="F45" s="122"/>
      <c r="G45" s="123"/>
      <c r="H45" s="140"/>
    </row>
    <row r="46" spans="1:8" hidden="1" x14ac:dyDescent="0.15"/>
  </sheetData>
  <sheetProtection password="E81C" sheet="1" objects="1" scenarios="1" selectLockedCells="1"/>
  <phoneticPr fontId="2" type="noConversion"/>
  <dataValidations count="1">
    <dataValidation type="list" allowBlank="1" showInputMessage="1" showErrorMessage="1" sqref="G4:G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1473200</xdr:colOff>
                    <xdr:row>14</xdr:row>
                    <xdr:rowOff>330200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O47"/>
  <sheetViews>
    <sheetView topLeftCell="A31" workbookViewId="0">
      <selection activeCell="A45" sqref="A45:O47"/>
    </sheetView>
  </sheetViews>
  <sheetFormatPr baseColWidth="10" defaultColWidth="11.5" defaultRowHeight="13" x14ac:dyDescent="0.15"/>
  <cols>
    <col min="1" max="1" width="5.1640625" customWidth="1"/>
    <col min="2" max="2" width="5.83203125" customWidth="1"/>
    <col min="3" max="3" width="3.83203125" customWidth="1"/>
    <col min="4" max="4" width="26.83203125" customWidth="1"/>
    <col min="5" max="5" width="10.1640625" customWidth="1"/>
    <col min="6" max="6" width="6.5" customWidth="1"/>
    <col min="7" max="7" width="8.1640625" customWidth="1"/>
    <col min="8" max="8" width="0" hidden="1" customWidth="1"/>
    <col min="9" max="12" width="11" customWidth="1"/>
    <col min="13" max="13" width="1.5" customWidth="1"/>
    <col min="14" max="14" width="4.5" customWidth="1"/>
    <col min="15" max="15" width="4.1640625" customWidth="1"/>
  </cols>
  <sheetData>
    <row r="1" spans="1:15" ht="12" customHeight="1" x14ac:dyDescent="0.15">
      <c r="A1" s="183" t="s">
        <v>212</v>
      </c>
      <c r="B1" s="184"/>
      <c r="C1" s="184"/>
      <c r="D1" s="184"/>
    </row>
    <row r="2" spans="1:15" x14ac:dyDescent="0.15">
      <c r="B2" s="41"/>
      <c r="C2" s="41"/>
      <c r="D2" s="41"/>
      <c r="E2" s="42"/>
      <c r="F2" s="42"/>
      <c r="G2" s="43" t="s">
        <v>116</v>
      </c>
      <c r="H2" s="43"/>
      <c r="I2" s="41">
        <v>42527</v>
      </c>
      <c r="J2" s="41">
        <v>42892</v>
      </c>
      <c r="K2" s="41">
        <v>43257</v>
      </c>
      <c r="L2" s="41"/>
      <c r="M2" s="41"/>
      <c r="N2" s="42"/>
      <c r="O2" s="42"/>
    </row>
    <row r="3" spans="1:15" x14ac:dyDescent="0.15">
      <c r="B3" s="41"/>
      <c r="C3" s="41"/>
      <c r="D3" s="41"/>
      <c r="E3" s="42"/>
      <c r="F3" s="109" t="s">
        <v>112</v>
      </c>
      <c r="G3" s="43"/>
      <c r="H3" s="43"/>
      <c r="I3" s="41"/>
      <c r="J3" s="41"/>
      <c r="K3" s="41"/>
      <c r="L3" s="41"/>
      <c r="M3" s="41"/>
      <c r="N3" s="42"/>
      <c r="O3" s="42"/>
    </row>
    <row r="4" spans="1:15" ht="12.75" customHeight="1" x14ac:dyDescent="0.15">
      <c r="B4" s="49" t="s">
        <v>8</v>
      </c>
      <c r="C4" s="45"/>
      <c r="D4" s="108">
        <v>0.47499999403953552</v>
      </c>
      <c r="E4" s="47"/>
      <c r="F4" s="48"/>
      <c r="G4" s="49" t="s">
        <v>8</v>
      </c>
      <c r="H4" s="49"/>
      <c r="I4" s="50">
        <v>0.49333333969116211</v>
      </c>
      <c r="J4" s="50">
        <v>0.49958333373069763</v>
      </c>
      <c r="K4" s="50">
        <v>0.50458335876464844</v>
      </c>
      <c r="L4" s="50"/>
      <c r="M4" s="46"/>
      <c r="N4" s="51"/>
      <c r="O4" s="51"/>
    </row>
    <row r="5" spans="1:15" ht="12" customHeight="1" x14ac:dyDescent="0.15">
      <c r="B5" s="49" t="s">
        <v>32</v>
      </c>
      <c r="C5" s="45"/>
      <c r="D5" s="108">
        <v>0.37299999594688416</v>
      </c>
      <c r="E5" s="47"/>
      <c r="F5" s="48"/>
      <c r="G5" s="49" t="s">
        <v>32</v>
      </c>
      <c r="H5" s="49"/>
      <c r="I5" s="50">
        <v>0.37299999594688416</v>
      </c>
      <c r="J5" s="50">
        <v>0.37299999594688416</v>
      </c>
      <c r="K5" s="50">
        <v>0.37299999594688416</v>
      </c>
      <c r="L5" s="50"/>
      <c r="M5" s="46"/>
      <c r="N5" s="51"/>
      <c r="O5" s="51"/>
    </row>
    <row r="6" spans="1:15" ht="12" customHeight="1" x14ac:dyDescent="0.15">
      <c r="B6" s="49" t="s">
        <v>34</v>
      </c>
      <c r="C6" s="45"/>
      <c r="D6" s="108">
        <v>8.3999998867511749E-2</v>
      </c>
      <c r="E6" s="47"/>
      <c r="F6" s="48"/>
      <c r="G6" s="49" t="s">
        <v>34</v>
      </c>
      <c r="H6" s="49"/>
      <c r="I6" s="50">
        <v>8.3999998867511749E-2</v>
      </c>
      <c r="J6" s="50">
        <v>8.3999998867511749E-2</v>
      </c>
      <c r="K6" s="50">
        <v>8.3999998867511749E-2</v>
      </c>
      <c r="L6" s="50"/>
      <c r="M6" s="46"/>
      <c r="N6" s="51"/>
      <c r="O6" s="51"/>
    </row>
    <row r="7" spans="1:15" x14ac:dyDescent="0.15">
      <c r="B7" s="49" t="s">
        <v>35</v>
      </c>
      <c r="C7" s="45"/>
      <c r="D7" s="108">
        <v>0.24899999797344208</v>
      </c>
      <c r="E7" s="47"/>
      <c r="F7" s="48"/>
      <c r="G7" s="49" t="s">
        <v>35</v>
      </c>
      <c r="H7" s="49"/>
      <c r="I7" s="50">
        <v>0.24899999797344208</v>
      </c>
      <c r="J7" s="50">
        <v>0.24899999797344208</v>
      </c>
      <c r="K7" s="50">
        <v>0.24899999797344208</v>
      </c>
      <c r="L7" s="50"/>
      <c r="M7" s="46"/>
      <c r="N7" s="51"/>
      <c r="O7" s="51"/>
    </row>
    <row r="8" spans="1:15" x14ac:dyDescent="0.15">
      <c r="B8" s="53"/>
      <c r="C8" s="46"/>
      <c r="D8" s="108"/>
      <c r="E8" s="47"/>
      <c r="F8" s="47"/>
      <c r="G8" s="49" t="s">
        <v>149</v>
      </c>
      <c r="H8" s="49"/>
      <c r="I8" s="50"/>
      <c r="J8" s="50">
        <v>2.9999999329447746E-2</v>
      </c>
      <c r="K8" s="50">
        <v>2.9999999329447746E-2</v>
      </c>
      <c r="L8" s="46"/>
      <c r="M8" s="46"/>
      <c r="N8" s="51"/>
      <c r="O8" s="51"/>
    </row>
    <row r="9" spans="1:15" x14ac:dyDescent="0.15">
      <c r="B9" s="54" t="s">
        <v>141</v>
      </c>
      <c r="C9" s="38"/>
      <c r="D9" s="38"/>
      <c r="E9" s="39"/>
      <c r="F9" s="39"/>
      <c r="G9" s="38"/>
      <c r="H9" s="38"/>
      <c r="I9" s="55" t="s">
        <v>100</v>
      </c>
      <c r="J9" s="55" t="s">
        <v>216</v>
      </c>
      <c r="K9" s="55" t="s">
        <v>217</v>
      </c>
      <c r="L9" s="55" t="s">
        <v>59</v>
      </c>
      <c r="M9" s="56"/>
      <c r="N9" s="57" t="s">
        <v>101</v>
      </c>
      <c r="O9" s="57" t="s">
        <v>87</v>
      </c>
    </row>
    <row r="10" spans="1:15" x14ac:dyDescent="0.15">
      <c r="B10" s="36">
        <v>0</v>
      </c>
      <c r="C10" s="59" t="s">
        <v>60</v>
      </c>
      <c r="D10" s="60"/>
      <c r="E10" s="55" t="s">
        <v>46</v>
      </c>
      <c r="F10" s="55" t="s">
        <v>142</v>
      </c>
      <c r="G10" s="61"/>
      <c r="H10" s="60"/>
      <c r="I10" s="62"/>
      <c r="J10" s="62"/>
      <c r="K10" s="62"/>
      <c r="L10" s="62"/>
      <c r="M10" s="38"/>
      <c r="N10" s="63"/>
      <c r="O10" s="40"/>
    </row>
    <row r="11" spans="1:15" x14ac:dyDescent="0.15">
      <c r="B11" s="36">
        <f>FacInflationPct</f>
        <v>0</v>
      </c>
      <c r="C11" s="3"/>
      <c r="D11" s="88" t="s">
        <v>213</v>
      </c>
      <c r="E11" s="87">
        <v>0</v>
      </c>
      <c r="F11" s="31">
        <v>0</v>
      </c>
      <c r="G11" s="22" t="s">
        <v>61</v>
      </c>
      <c r="H11" s="7">
        <f>$E11/9*$F11</f>
        <v>0</v>
      </c>
      <c r="I11" s="88">
        <f>H11*(1+$B11)</f>
        <v>0</v>
      </c>
      <c r="J11" s="88">
        <f>I11*(1+$B11)</f>
        <v>0</v>
      </c>
      <c r="K11" s="88">
        <f>J11*(1+$B11)</f>
        <v>0</v>
      </c>
      <c r="L11" s="7">
        <f>SUM( $I$11:$K$11)</f>
        <v>0</v>
      </c>
      <c r="M11" s="7"/>
      <c r="N11" s="27" t="s">
        <v>102</v>
      </c>
      <c r="O11" s="27" t="s">
        <v>89</v>
      </c>
    </row>
    <row r="12" spans="1:15" x14ac:dyDescent="0.15">
      <c r="B12" s="36">
        <f>FacInflationPct</f>
        <v>0</v>
      </c>
      <c r="C12" s="3"/>
      <c r="D12" s="32"/>
      <c r="E12" s="151"/>
      <c r="F12" s="31">
        <v>0</v>
      </c>
      <c r="G12" s="22" t="s">
        <v>62</v>
      </c>
      <c r="H12" s="7">
        <f>$E11/9*$F12</f>
        <v>0</v>
      </c>
      <c r="I12" s="88">
        <f>H12*(1+$B12)</f>
        <v>0</v>
      </c>
      <c r="J12" s="88">
        <f>I12*(1+$B12)</f>
        <v>0</v>
      </c>
      <c r="K12" s="88">
        <f>J12*(1+$B12)</f>
        <v>0</v>
      </c>
      <c r="L12" s="8">
        <f>SUM( $I$12:$K$12)</f>
        <v>0</v>
      </c>
      <c r="M12" s="8"/>
      <c r="N12" s="27" t="s">
        <v>102</v>
      </c>
      <c r="O12" s="27" t="s">
        <v>88</v>
      </c>
    </row>
    <row r="13" spans="1:15" x14ac:dyDescent="0.15">
      <c r="B13" s="91"/>
      <c r="C13" s="46"/>
      <c r="D13" s="64" t="s">
        <v>63</v>
      </c>
      <c r="E13" s="65"/>
      <c r="F13" s="65"/>
      <c r="G13" s="66"/>
      <c r="H13" s="66"/>
      <c r="I13" s="46">
        <f>SUM( I11:I12)</f>
        <v>0</v>
      </c>
      <c r="J13" s="46">
        <f>SUM( J11:J12)</f>
        <v>0</v>
      </c>
      <c r="K13" s="46">
        <f>SUM( K11:K12)</f>
        <v>0</v>
      </c>
      <c r="L13" s="46">
        <f>SUM( $I$13:$K$13)</f>
        <v>0</v>
      </c>
      <c r="M13" s="46"/>
      <c r="N13" s="51"/>
      <c r="O13" s="51"/>
    </row>
    <row r="14" spans="1:15" x14ac:dyDescent="0.15">
      <c r="B14" s="67"/>
      <c r="C14" s="68" t="s">
        <v>64</v>
      </c>
      <c r="D14" s="38"/>
      <c r="E14" s="39"/>
      <c r="F14" s="39"/>
      <c r="G14" s="38"/>
      <c r="H14" s="38"/>
      <c r="I14" s="69"/>
      <c r="J14" s="69"/>
      <c r="K14" s="69"/>
      <c r="L14" s="69">
        <f>SUM( $I$14:$K$14)</f>
        <v>0</v>
      </c>
      <c r="M14" s="69"/>
      <c r="N14" s="70"/>
      <c r="O14" s="70"/>
    </row>
    <row r="15" spans="1:15" x14ac:dyDescent="0.15">
      <c r="B15" s="71"/>
      <c r="C15" s="72"/>
      <c r="D15" s="68" t="s">
        <v>65</v>
      </c>
      <c r="E15" s="69"/>
      <c r="F15" s="69"/>
      <c r="G15" s="73"/>
      <c r="H15" s="73">
        <v>0</v>
      </c>
      <c r="I15" s="30">
        <f>H15*(1+I$8)</f>
        <v>0</v>
      </c>
      <c r="J15" s="30">
        <f>I15*(1+J$8)</f>
        <v>0</v>
      </c>
      <c r="K15" s="30">
        <f>J15*(1+K$8)</f>
        <v>0</v>
      </c>
      <c r="L15" s="69">
        <f>SUM( $I$15:$K$15)</f>
        <v>0</v>
      </c>
      <c r="M15" s="69"/>
      <c r="N15" s="70" t="s">
        <v>102</v>
      </c>
      <c r="O15" s="70" t="s">
        <v>103</v>
      </c>
    </row>
    <row r="16" spans="1:15" x14ac:dyDescent="0.15">
      <c r="B16" s="71"/>
      <c r="C16" s="72"/>
      <c r="D16" s="68" t="s">
        <v>143</v>
      </c>
      <c r="E16" s="69"/>
      <c r="F16" s="69"/>
      <c r="G16" s="69"/>
      <c r="H16" s="73">
        <v>0</v>
      </c>
      <c r="I16" s="30">
        <f t="shared" ref="I16:K22" si="0">H16*(1+I$8)</f>
        <v>0</v>
      </c>
      <c r="J16" s="30">
        <f t="shared" si="0"/>
        <v>0</v>
      </c>
      <c r="K16" s="30">
        <f t="shared" si="0"/>
        <v>0</v>
      </c>
      <c r="L16" s="69">
        <f>SUM( $I$16:$K$16)</f>
        <v>0</v>
      </c>
      <c r="M16" s="69"/>
      <c r="N16" s="70" t="s">
        <v>102</v>
      </c>
      <c r="O16" s="70" t="s">
        <v>88</v>
      </c>
    </row>
    <row r="17" spans="2:15" x14ac:dyDescent="0.15">
      <c r="B17" s="74"/>
      <c r="C17" s="75"/>
      <c r="D17" s="64" t="s">
        <v>95</v>
      </c>
      <c r="E17" s="66"/>
      <c r="F17" s="66"/>
      <c r="G17" s="76" t="s">
        <v>15</v>
      </c>
      <c r="H17" s="73">
        <v>0</v>
      </c>
      <c r="I17" s="66">
        <f>SUM(I15:I16)</f>
        <v>0</v>
      </c>
      <c r="J17" s="66">
        <f>SUM(J15:J16)</f>
        <v>0</v>
      </c>
      <c r="K17" s="66">
        <f>SUM(K15:K16)</f>
        <v>0</v>
      </c>
      <c r="L17" s="66">
        <f>SUM( $I$17:$K$17)</f>
        <v>0</v>
      </c>
      <c r="M17" s="66"/>
      <c r="N17" s="77"/>
      <c r="O17" s="77"/>
    </row>
    <row r="18" spans="2:15" x14ac:dyDescent="0.15">
      <c r="B18" s="71"/>
      <c r="C18" s="72"/>
      <c r="D18" s="68" t="s">
        <v>66</v>
      </c>
      <c r="E18" s="69"/>
      <c r="F18" s="69"/>
      <c r="G18" s="73" t="s">
        <v>16</v>
      </c>
      <c r="H18" s="73">
        <v>0</v>
      </c>
      <c r="I18" s="30">
        <f t="shared" si="0"/>
        <v>0</v>
      </c>
      <c r="J18" s="30">
        <f t="shared" si="0"/>
        <v>0</v>
      </c>
      <c r="K18" s="30">
        <f t="shared" si="0"/>
        <v>0</v>
      </c>
      <c r="L18" s="69">
        <f>SUM( $I$18:$K$18)</f>
        <v>0</v>
      </c>
      <c r="M18" s="69"/>
      <c r="N18" s="70" t="s">
        <v>102</v>
      </c>
      <c r="O18" s="70" t="s">
        <v>90</v>
      </c>
    </row>
    <row r="19" spans="2:15" x14ac:dyDescent="0.15">
      <c r="B19" s="71"/>
      <c r="C19" s="72"/>
      <c r="D19" s="68" t="s">
        <v>67</v>
      </c>
      <c r="E19" s="69"/>
      <c r="F19" s="69"/>
      <c r="G19" s="73" t="s">
        <v>17</v>
      </c>
      <c r="H19" s="73">
        <v>0</v>
      </c>
      <c r="I19" s="30">
        <f t="shared" si="0"/>
        <v>0</v>
      </c>
      <c r="J19" s="30">
        <f t="shared" si="0"/>
        <v>0</v>
      </c>
      <c r="K19" s="30">
        <f t="shared" si="0"/>
        <v>0</v>
      </c>
      <c r="L19" s="69">
        <f>SUM( $I$19:$K$19)</f>
        <v>0</v>
      </c>
      <c r="M19" s="69"/>
      <c r="N19" s="70" t="s">
        <v>102</v>
      </c>
      <c r="O19" s="70" t="s">
        <v>89</v>
      </c>
    </row>
    <row r="20" spans="2:15" x14ac:dyDescent="0.15">
      <c r="B20" s="71"/>
      <c r="C20" s="72"/>
      <c r="D20" s="68" t="s">
        <v>68</v>
      </c>
      <c r="E20" s="69"/>
      <c r="F20" s="69"/>
      <c r="G20" s="73" t="s">
        <v>19</v>
      </c>
      <c r="H20" s="73">
        <v>0</v>
      </c>
      <c r="I20" s="30">
        <f t="shared" si="0"/>
        <v>0</v>
      </c>
      <c r="J20" s="30">
        <f t="shared" si="0"/>
        <v>0</v>
      </c>
      <c r="K20" s="30">
        <f t="shared" si="0"/>
        <v>0</v>
      </c>
      <c r="L20" s="69">
        <f>SUM( $I$20:$K$20)</f>
        <v>0</v>
      </c>
      <c r="M20" s="69"/>
      <c r="N20" s="70" t="s">
        <v>102</v>
      </c>
      <c r="O20" s="70" t="s">
        <v>89</v>
      </c>
    </row>
    <row r="21" spans="2:15" x14ac:dyDescent="0.15">
      <c r="B21" s="71"/>
      <c r="C21" s="72"/>
      <c r="D21" s="68" t="s">
        <v>144</v>
      </c>
      <c r="E21" s="69"/>
      <c r="F21" s="69"/>
      <c r="G21" s="73" t="s">
        <v>20</v>
      </c>
      <c r="H21" s="73">
        <v>0</v>
      </c>
      <c r="I21" s="30">
        <f t="shared" si="0"/>
        <v>0</v>
      </c>
      <c r="J21" s="30">
        <f t="shared" si="0"/>
        <v>0</v>
      </c>
      <c r="K21" s="30">
        <f t="shared" si="0"/>
        <v>0</v>
      </c>
      <c r="L21" s="69">
        <f>SUM( $I$21:$K$21)</f>
        <v>0</v>
      </c>
      <c r="M21" s="69"/>
      <c r="N21" s="70" t="s">
        <v>102</v>
      </c>
      <c r="O21" s="70" t="s">
        <v>88</v>
      </c>
    </row>
    <row r="22" spans="2:15" x14ac:dyDescent="0.15">
      <c r="B22" s="71"/>
      <c r="C22" s="72"/>
      <c r="D22" s="68" t="s">
        <v>145</v>
      </c>
      <c r="E22" s="69"/>
      <c r="F22" s="69"/>
      <c r="G22" s="73" t="s">
        <v>20</v>
      </c>
      <c r="H22" s="73">
        <v>0</v>
      </c>
      <c r="I22" s="30">
        <f t="shared" si="0"/>
        <v>0</v>
      </c>
      <c r="J22" s="30">
        <f t="shared" si="0"/>
        <v>0</v>
      </c>
      <c r="K22" s="30">
        <f t="shared" si="0"/>
        <v>0</v>
      </c>
      <c r="L22" s="69">
        <f>SUM( $I$22:$K$22)</f>
        <v>0</v>
      </c>
      <c r="M22" s="38"/>
      <c r="N22" s="40" t="s">
        <v>102</v>
      </c>
      <c r="O22" s="40" t="s">
        <v>103</v>
      </c>
    </row>
    <row r="23" spans="2:15" x14ac:dyDescent="0.15">
      <c r="B23" s="45"/>
      <c r="C23" s="46"/>
      <c r="D23" s="64" t="s">
        <v>69</v>
      </c>
      <c r="E23" s="47"/>
      <c r="F23" s="47"/>
      <c r="G23" s="46"/>
      <c r="H23" s="46"/>
      <c r="I23" s="46">
        <f>SUM(I18:I22)+I17+I13</f>
        <v>0</v>
      </c>
      <c r="J23" s="46">
        <f>SUM(J18:J22)+J17+J13</f>
        <v>0</v>
      </c>
      <c r="K23" s="46">
        <f>SUM(K18:K22)+K17+K13</f>
        <v>0</v>
      </c>
      <c r="L23" s="46">
        <f>SUM( $I$23:$K$23)</f>
        <v>0</v>
      </c>
      <c r="M23" s="46"/>
      <c r="N23" s="51"/>
      <c r="O23" s="51"/>
    </row>
    <row r="24" spans="2:15" x14ac:dyDescent="0.15">
      <c r="B24" s="67"/>
      <c r="C24" s="68" t="s">
        <v>70</v>
      </c>
      <c r="D24" s="69"/>
      <c r="E24" s="69"/>
      <c r="F24" s="69"/>
      <c r="G24" s="78" t="s">
        <v>131</v>
      </c>
      <c r="H24" s="78">
        <v>0</v>
      </c>
      <c r="I24" s="69">
        <f>(SUMIF($O10:$O22,"FF",I10:I22)*I5) + (SUMIF($O10:$O22,"PF",I10:I22)*I6) + (SUMIF($O10:$O22,"PD",I10:I22)*I7)</f>
        <v>0</v>
      </c>
      <c r="J24" s="69">
        <f>(SUMIF($O10:$O22,"FF",J10:J22)*J5) + (SUMIF($O10:$O22,"PF",J10:J22)*J6) + (SUMIF($O10:$O22,"PD",J10:J22)*J7)</f>
        <v>0</v>
      </c>
      <c r="K24" s="69">
        <f>(SUMIF($O10:$O22,"FF",K10:K22)*K5) + (SUMIF($O10:$O22,"PF",K10:K22)*K6) + (SUMIF($O10:$O22,"PD",K10:K22)*K7)</f>
        <v>0</v>
      </c>
      <c r="L24" s="79">
        <f>SUM( $I$24:$K$24)</f>
        <v>0</v>
      </c>
      <c r="M24" s="38"/>
      <c r="N24" s="40" t="s">
        <v>102</v>
      </c>
      <c r="O24" s="40"/>
    </row>
    <row r="25" spans="2:15" x14ac:dyDescent="0.15">
      <c r="B25" s="45"/>
      <c r="C25" s="46"/>
      <c r="D25" s="64" t="s">
        <v>71</v>
      </c>
      <c r="E25" s="47"/>
      <c r="F25" s="47"/>
      <c r="G25" s="46"/>
      <c r="H25" s="46"/>
      <c r="I25" s="46">
        <f>SUM(I23+I24)</f>
        <v>0</v>
      </c>
      <c r="J25" s="46">
        <f>SUM(J23+J24)</f>
        <v>0</v>
      </c>
      <c r="K25" s="46">
        <f>SUM(K23+K24)</f>
        <v>0</v>
      </c>
      <c r="L25" s="46">
        <f>SUM( $I$25:$K$25)</f>
        <v>0</v>
      </c>
      <c r="M25" s="46"/>
      <c r="N25" s="51"/>
      <c r="O25" s="51"/>
    </row>
    <row r="26" spans="2:15" x14ac:dyDescent="0.15">
      <c r="B26" s="37"/>
      <c r="C26" s="38" t="s">
        <v>72</v>
      </c>
      <c r="D26" s="38"/>
      <c r="E26" s="39"/>
      <c r="F26" s="39"/>
      <c r="G26" s="78">
        <v>721100</v>
      </c>
      <c r="H26" s="78">
        <v>0</v>
      </c>
      <c r="I26" s="88">
        <v>0</v>
      </c>
      <c r="J26" s="88">
        <v>0</v>
      </c>
      <c r="K26" s="88">
        <v>0</v>
      </c>
      <c r="L26" s="38">
        <f>SUM( $I$26:$K$26)</f>
        <v>0</v>
      </c>
      <c r="M26" s="38"/>
      <c r="N26" s="40" t="s">
        <v>106</v>
      </c>
      <c r="O26" s="40"/>
    </row>
    <row r="27" spans="2:15" x14ac:dyDescent="0.15">
      <c r="B27" s="37"/>
      <c r="C27" s="38" t="s">
        <v>73</v>
      </c>
      <c r="D27" s="38"/>
      <c r="E27" s="39"/>
      <c r="F27" s="39"/>
      <c r="G27" s="78">
        <v>740000</v>
      </c>
      <c r="H27" s="78">
        <v>0</v>
      </c>
      <c r="I27" s="88">
        <v>0</v>
      </c>
      <c r="J27" s="88">
        <v>0</v>
      </c>
      <c r="K27" s="88">
        <v>0</v>
      </c>
      <c r="L27" s="38">
        <f>SUM( $I$27:$K$27)</f>
        <v>0</v>
      </c>
      <c r="M27" s="38"/>
      <c r="N27" s="40" t="s">
        <v>106</v>
      </c>
      <c r="O27" s="40"/>
    </row>
    <row r="28" spans="2:15" x14ac:dyDescent="0.15">
      <c r="B28" s="89"/>
      <c r="C28" s="38" t="s">
        <v>74</v>
      </c>
      <c r="D28" s="38"/>
      <c r="E28" s="39"/>
      <c r="F28" s="39"/>
      <c r="G28" s="78">
        <v>710000</v>
      </c>
      <c r="H28" s="78">
        <v>0</v>
      </c>
      <c r="I28" s="88">
        <v>0</v>
      </c>
      <c r="J28" s="88">
        <v>0</v>
      </c>
      <c r="K28" s="88">
        <v>0</v>
      </c>
      <c r="L28" s="38">
        <f>SUM( $I$28:$K$28)</f>
        <v>0</v>
      </c>
      <c r="M28" s="38"/>
      <c r="N28" s="40" t="s">
        <v>102</v>
      </c>
      <c r="O28" s="40"/>
    </row>
    <row r="29" spans="2:15" x14ac:dyDescent="0.15">
      <c r="B29" s="45"/>
      <c r="C29" s="46" t="s">
        <v>75</v>
      </c>
      <c r="D29" s="46"/>
      <c r="E29" s="47"/>
      <c r="F29" s="47"/>
      <c r="G29" s="81"/>
      <c r="H29" s="81"/>
      <c r="I29" s="46"/>
      <c r="J29" s="46"/>
      <c r="K29" s="46"/>
      <c r="L29" s="46">
        <f>SUM( $I$29:$K$29)</f>
        <v>0</v>
      </c>
      <c r="M29" s="46"/>
      <c r="N29" s="51"/>
      <c r="O29" s="51"/>
    </row>
    <row r="30" spans="2:15" x14ac:dyDescent="0.15">
      <c r="B30" s="89"/>
      <c r="C30" s="38"/>
      <c r="D30" s="38" t="s">
        <v>96</v>
      </c>
      <c r="E30" s="39"/>
      <c r="F30" s="39"/>
      <c r="G30" s="78">
        <v>711200</v>
      </c>
      <c r="H30" s="78">
        <v>0</v>
      </c>
      <c r="I30" s="88">
        <v>0</v>
      </c>
      <c r="J30" s="88">
        <v>0</v>
      </c>
      <c r="K30" s="88">
        <v>0</v>
      </c>
      <c r="L30" s="38">
        <f>SUM( $I$30:$K$30)</f>
        <v>0</v>
      </c>
      <c r="M30" s="38"/>
      <c r="N30" s="40" t="s">
        <v>102</v>
      </c>
      <c r="O30" s="40"/>
    </row>
    <row r="31" spans="2:15" x14ac:dyDescent="0.15">
      <c r="B31" s="89"/>
      <c r="C31" s="38"/>
      <c r="D31" s="38" t="s">
        <v>97</v>
      </c>
      <c r="E31" s="39"/>
      <c r="F31" s="39"/>
      <c r="G31" s="78">
        <v>711200</v>
      </c>
      <c r="H31" s="78">
        <v>0</v>
      </c>
      <c r="I31" s="88">
        <v>0</v>
      </c>
      <c r="J31" s="88">
        <v>0</v>
      </c>
      <c r="K31" s="88">
        <v>0</v>
      </c>
      <c r="L31" s="38">
        <f>SUM( $I$31:$K$31)</f>
        <v>0</v>
      </c>
      <c r="M31" s="38"/>
      <c r="N31" s="40" t="s">
        <v>102</v>
      </c>
      <c r="O31" s="40"/>
    </row>
    <row r="32" spans="2:15" x14ac:dyDescent="0.15">
      <c r="B32" s="89"/>
      <c r="C32" s="38"/>
      <c r="D32" s="38" t="s">
        <v>98</v>
      </c>
      <c r="E32" s="39"/>
      <c r="F32" s="39"/>
      <c r="G32" s="78">
        <v>717000</v>
      </c>
      <c r="H32" s="78">
        <v>0</v>
      </c>
      <c r="I32" s="88">
        <v>0</v>
      </c>
      <c r="J32" s="88">
        <v>0</v>
      </c>
      <c r="K32" s="88">
        <v>0</v>
      </c>
      <c r="L32" s="38">
        <f>SUM( $I$32:$K$32)</f>
        <v>0</v>
      </c>
      <c r="M32" s="38"/>
      <c r="N32" s="40" t="s">
        <v>102</v>
      </c>
      <c r="O32" s="40"/>
    </row>
    <row r="33" spans="1:15" x14ac:dyDescent="0.15">
      <c r="B33" s="90"/>
      <c r="C33" s="38"/>
      <c r="D33" s="38" t="s">
        <v>99</v>
      </c>
      <c r="E33" s="39"/>
      <c r="F33" s="39"/>
      <c r="G33" s="78">
        <v>711200</v>
      </c>
      <c r="H33" s="78">
        <v>0</v>
      </c>
      <c r="I33" s="88">
        <v>0</v>
      </c>
      <c r="J33" s="88">
        <v>0</v>
      </c>
      <c r="K33" s="88">
        <v>0</v>
      </c>
      <c r="L33" s="38">
        <f>SUM( $I$33:$K$33)</f>
        <v>0</v>
      </c>
      <c r="M33" s="38"/>
      <c r="N33" s="40" t="s">
        <v>102</v>
      </c>
      <c r="O33" s="40"/>
    </row>
    <row r="34" spans="1:15" x14ac:dyDescent="0.15">
      <c r="B34" s="37"/>
      <c r="C34" s="38"/>
      <c r="D34" s="38" t="s">
        <v>50</v>
      </c>
      <c r="E34" s="39"/>
      <c r="F34" s="39"/>
      <c r="G34" s="78"/>
      <c r="H34" s="78">
        <v>0</v>
      </c>
      <c r="I34" s="38">
        <v>0</v>
      </c>
      <c r="J34" s="38">
        <v>0</v>
      </c>
      <c r="K34" s="38">
        <v>0</v>
      </c>
      <c r="L34" s="38">
        <f>SUM( $I$34:$K$34)</f>
        <v>0</v>
      </c>
      <c r="M34" s="38"/>
      <c r="N34" s="40" t="s">
        <v>102</v>
      </c>
      <c r="O34" s="40"/>
    </row>
    <row r="35" spans="1:15" x14ac:dyDescent="0.15">
      <c r="B35" s="37"/>
      <c r="C35" s="38"/>
      <c r="D35" s="38" t="s">
        <v>51</v>
      </c>
      <c r="E35" s="39"/>
      <c r="F35" s="39"/>
      <c r="G35" s="78"/>
      <c r="H35" s="78">
        <v>0</v>
      </c>
      <c r="I35" s="38">
        <v>0</v>
      </c>
      <c r="J35" s="38">
        <v>0</v>
      </c>
      <c r="K35" s="38">
        <v>0</v>
      </c>
      <c r="L35" s="38">
        <f>SUM( $I$35:$K$35)</f>
        <v>0</v>
      </c>
      <c r="M35" s="38"/>
      <c r="N35" s="40" t="s">
        <v>106</v>
      </c>
      <c r="O35" s="40"/>
    </row>
    <row r="36" spans="1:15" x14ac:dyDescent="0.15">
      <c r="B36" s="45"/>
      <c r="C36" s="46"/>
      <c r="D36" s="46" t="s">
        <v>49</v>
      </c>
      <c r="E36" s="47"/>
      <c r="F36" s="47"/>
      <c r="G36" s="81">
        <v>730001</v>
      </c>
      <c r="H36" s="81">
        <v>0</v>
      </c>
      <c r="I36" s="46">
        <f>SUM(I34:I35)</f>
        <v>0</v>
      </c>
      <c r="J36" s="46">
        <f>SUM(J34:J35)</f>
        <v>0</v>
      </c>
      <c r="K36" s="46">
        <f>SUM(K34:K35)</f>
        <v>0</v>
      </c>
      <c r="L36" s="46">
        <f>SUM( $I$36:$K$36)</f>
        <v>0</v>
      </c>
      <c r="M36" s="46"/>
      <c r="N36" s="51"/>
      <c r="O36" s="51"/>
    </row>
    <row r="37" spans="1:15" x14ac:dyDescent="0.15">
      <c r="B37" s="90"/>
      <c r="C37" s="38"/>
      <c r="D37" s="38" t="s">
        <v>5</v>
      </c>
      <c r="E37" s="39"/>
      <c r="F37" s="39"/>
      <c r="G37" s="78">
        <v>717200</v>
      </c>
      <c r="H37" s="78">
        <v>0</v>
      </c>
      <c r="I37" s="88">
        <v>0</v>
      </c>
      <c r="J37" s="88">
        <v>0</v>
      </c>
      <c r="K37" s="88">
        <v>0</v>
      </c>
      <c r="L37" s="38">
        <f>SUM( $I$37:$K$37)</f>
        <v>0</v>
      </c>
      <c r="M37" s="38"/>
      <c r="N37" s="40" t="s">
        <v>102</v>
      </c>
      <c r="O37" s="40"/>
    </row>
    <row r="38" spans="1:15" x14ac:dyDescent="0.15">
      <c r="B38" s="89"/>
      <c r="C38" s="38"/>
      <c r="D38" s="38" t="s">
        <v>6</v>
      </c>
      <c r="E38" s="39"/>
      <c r="F38" s="39"/>
      <c r="G38" s="78">
        <v>722200</v>
      </c>
      <c r="H38" s="78">
        <v>0</v>
      </c>
      <c r="I38" s="88">
        <v>0</v>
      </c>
      <c r="J38" s="88">
        <v>0</v>
      </c>
      <c r="K38" s="88">
        <v>0</v>
      </c>
      <c r="L38" s="38">
        <f>SUM( $I$38:$K$38)</f>
        <v>0</v>
      </c>
      <c r="M38" s="38"/>
      <c r="N38" s="40" t="s">
        <v>106</v>
      </c>
      <c r="O38" s="40"/>
    </row>
    <row r="39" spans="1:15" x14ac:dyDescent="0.15">
      <c r="B39" s="89"/>
      <c r="C39" s="38"/>
      <c r="D39" s="38" t="s">
        <v>52</v>
      </c>
      <c r="E39" s="39"/>
      <c r="F39" s="39"/>
      <c r="G39" s="38"/>
      <c r="H39" s="78">
        <v>0</v>
      </c>
      <c r="I39" s="88">
        <v>0</v>
      </c>
      <c r="J39" s="88">
        <v>0</v>
      </c>
      <c r="K39" s="88">
        <v>0</v>
      </c>
      <c r="L39" s="38">
        <f>SUM( $I$39:$K$39)</f>
        <v>0</v>
      </c>
      <c r="M39" s="38"/>
      <c r="N39" s="63" t="s">
        <v>102</v>
      </c>
      <c r="O39" s="40"/>
    </row>
    <row r="40" spans="1:15" x14ac:dyDescent="0.15">
      <c r="B40" s="89"/>
      <c r="C40" s="38"/>
      <c r="D40" s="38" t="s">
        <v>53</v>
      </c>
      <c r="E40" s="39"/>
      <c r="F40" s="39"/>
      <c r="G40" s="38"/>
      <c r="H40" s="78">
        <v>0</v>
      </c>
      <c r="I40" s="88">
        <v>0</v>
      </c>
      <c r="J40" s="88">
        <v>0</v>
      </c>
      <c r="K40" s="88">
        <v>0</v>
      </c>
      <c r="L40" s="38">
        <f>SUM( $I$40:$K$40)</f>
        <v>0</v>
      </c>
      <c r="M40" s="38"/>
      <c r="N40" s="40" t="s">
        <v>106</v>
      </c>
      <c r="O40" s="40"/>
    </row>
    <row r="41" spans="1:15" x14ac:dyDescent="0.15">
      <c r="B41" s="46"/>
      <c r="C41" s="46"/>
      <c r="D41" s="46" t="s">
        <v>76</v>
      </c>
      <c r="E41" s="47"/>
      <c r="F41" s="47"/>
      <c r="G41" s="46"/>
      <c r="H41" s="46">
        <f>SUM(H25:H35,H37:H40)</f>
        <v>0</v>
      </c>
      <c r="I41" s="46">
        <f>SUM(I25:I35,I37:I40)</f>
        <v>0</v>
      </c>
      <c r="J41" s="46">
        <f>SUM(J25:J35,J37:J40)</f>
        <v>0</v>
      </c>
      <c r="K41" s="46">
        <f>SUM(K25:K35,K37:K40)</f>
        <v>0</v>
      </c>
      <c r="L41" s="46">
        <f>SUM( $I$41:$K$41)</f>
        <v>0</v>
      </c>
      <c r="M41" s="46"/>
      <c r="N41" s="51"/>
      <c r="O41" s="51"/>
    </row>
    <row r="42" spans="1:15" x14ac:dyDescent="0.15">
      <c r="B42" s="106"/>
      <c r="C42" s="106"/>
      <c r="D42" s="106" t="s">
        <v>11</v>
      </c>
      <c r="E42" s="107"/>
      <c r="F42" s="107"/>
      <c r="G42" s="106"/>
      <c r="H42" s="106">
        <f>SUMIF($N$10:$N$40,"Y",H10:H40)</f>
        <v>0</v>
      </c>
      <c r="I42" s="106">
        <f>SUMIF($N$10:$N$40,"Y",I10:I40)</f>
        <v>0</v>
      </c>
      <c r="J42" s="106">
        <f>SUMIF($N$10:$N$40,"Y",J10:J40)</f>
        <v>0</v>
      </c>
      <c r="K42" s="106">
        <f>SUMIF($N$10:$N$40,"Y",K10:K40)</f>
        <v>0</v>
      </c>
      <c r="L42" s="106">
        <f>SUM( $I$42:$K$42)</f>
        <v>0</v>
      </c>
      <c r="M42" s="106"/>
      <c r="N42" s="107"/>
      <c r="O42" s="107"/>
    </row>
    <row r="43" spans="1:15" x14ac:dyDescent="0.15">
      <c r="B43" s="38"/>
      <c r="C43" s="38" t="s">
        <v>77</v>
      </c>
      <c r="D43" s="38"/>
      <c r="E43" s="39"/>
      <c r="F43" s="39"/>
      <c r="G43" s="78"/>
      <c r="H43" s="38">
        <f>H4*H42</f>
        <v>0</v>
      </c>
      <c r="I43" s="38">
        <f>I4*I42</f>
        <v>0</v>
      </c>
      <c r="J43" s="38">
        <f>J4*J42</f>
        <v>0</v>
      </c>
      <c r="K43" s="38">
        <f>K4*K42</f>
        <v>0</v>
      </c>
      <c r="L43" s="38">
        <f>SUM( $I$43:$K$43)</f>
        <v>0</v>
      </c>
      <c r="M43" s="38"/>
      <c r="N43" s="40"/>
      <c r="O43" s="40"/>
    </row>
    <row r="44" spans="1:15" x14ac:dyDescent="0.15">
      <c r="B44" s="46"/>
      <c r="C44" s="46"/>
      <c r="D44" s="46" t="s">
        <v>218</v>
      </c>
      <c r="E44" s="47"/>
      <c r="F44" s="47"/>
      <c r="G44" s="46"/>
      <c r="H44" s="46">
        <f>SUM(H43+H41)</f>
        <v>0</v>
      </c>
      <c r="I44" s="46">
        <f>SUM(I43+I41)</f>
        <v>0</v>
      </c>
      <c r="J44" s="46">
        <f>SUM(J43+J41)</f>
        <v>0</v>
      </c>
      <c r="K44" s="46">
        <f>SUM(K43+K41)</f>
        <v>0</v>
      </c>
      <c r="L44" s="46">
        <f>SUM( $I$44:$K$44)</f>
        <v>0</v>
      </c>
      <c r="M44" s="46"/>
      <c r="N44" s="51"/>
      <c r="O44" s="51"/>
    </row>
    <row r="45" spans="1:15" x14ac:dyDescent="0.15">
      <c r="A45" s="12"/>
      <c r="B45" s="25"/>
      <c r="C45" s="12" t="s">
        <v>79</v>
      </c>
      <c r="D45" s="12"/>
      <c r="E45" s="12"/>
      <c r="F45" s="12"/>
      <c r="G45" s="12"/>
      <c r="H45" s="12"/>
      <c r="I45" s="88">
        <v>0</v>
      </c>
      <c r="J45" s="88">
        <v>0</v>
      </c>
      <c r="K45" s="88">
        <v>0</v>
      </c>
      <c r="L45" s="38">
        <f>SUM( I45:K45)</f>
        <v>0</v>
      </c>
      <c r="M45" s="12"/>
      <c r="N45" s="12"/>
      <c r="O45" s="12"/>
    </row>
    <row r="46" spans="1:15" x14ac:dyDescent="0.15">
      <c r="A46" s="12"/>
      <c r="B46" s="25"/>
      <c r="C46" s="12" t="s">
        <v>80</v>
      </c>
      <c r="D46" s="12"/>
      <c r="E46" s="12"/>
      <c r="F46" s="12"/>
      <c r="G46" s="12"/>
      <c r="H46" s="12"/>
      <c r="I46" s="88">
        <v>0</v>
      </c>
      <c r="J46" s="88">
        <v>0</v>
      </c>
      <c r="K46" s="88">
        <v>0</v>
      </c>
      <c r="L46" s="38">
        <f>SUM( I46:K46)</f>
        <v>0</v>
      </c>
      <c r="M46" s="12"/>
      <c r="N46" s="12"/>
      <c r="O46" s="12"/>
    </row>
    <row r="47" spans="1:15" x14ac:dyDescent="0.15">
      <c r="A47" s="85"/>
      <c r="B47" s="84"/>
      <c r="C47" s="83"/>
      <c r="D47" s="83" t="s">
        <v>81</v>
      </c>
      <c r="E47" s="83"/>
      <c r="F47" s="83"/>
      <c r="G47" s="83"/>
      <c r="H47" s="83"/>
      <c r="I47" s="46">
        <f>SUM(I44:I46)</f>
        <v>0</v>
      </c>
      <c r="J47" s="46">
        <f>SUM(J44:J46)</f>
        <v>0</v>
      </c>
      <c r="K47" s="46">
        <f>SUM(K44:K46)</f>
        <v>0</v>
      </c>
      <c r="L47" s="46">
        <f>SUM( I47:K47)</f>
        <v>0</v>
      </c>
      <c r="M47" s="83"/>
      <c r="N47" s="83"/>
      <c r="O47" s="83"/>
    </row>
  </sheetData>
  <sheetProtection password="E81C" sheet="1" objects="1" scenarios="1"/>
  <phoneticPr fontId="2" type="noConversion"/>
  <dataValidations count="2">
    <dataValidation type="list" allowBlank="1" showInputMessage="1" showErrorMessage="1" sqref="O10:O22">
      <formula1>FBRateTypeList</formula1>
    </dataValidation>
    <dataValidation type="list" allowBlank="1" showInputMessage="1" showErrorMessage="1" sqref="N10:N44">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O47"/>
  <sheetViews>
    <sheetView workbookViewId="0">
      <selection activeCell="B2" sqref="B2:O44"/>
    </sheetView>
  </sheetViews>
  <sheetFormatPr baseColWidth="10" defaultColWidth="11.5" defaultRowHeight="13" x14ac:dyDescent="0.15"/>
  <cols>
    <col min="2" max="2" width="5.83203125" customWidth="1"/>
    <col min="3" max="3" width="3.83203125" customWidth="1"/>
    <col min="4" max="4" width="26.83203125" customWidth="1"/>
    <col min="5" max="5" width="10.1640625" customWidth="1"/>
    <col min="6" max="6" width="6.5" bestFit="1" customWidth="1"/>
    <col min="7" max="7" width="8.1640625" customWidth="1"/>
    <col min="8" max="8" width="0" hidden="1" customWidth="1"/>
    <col min="9" max="12" width="11" customWidth="1"/>
    <col min="13" max="13" width="1.5" customWidth="1"/>
    <col min="14" max="14" width="4.5" customWidth="1"/>
    <col min="15" max="15" width="4.1640625" customWidth="1"/>
  </cols>
  <sheetData>
    <row r="1" spans="1:15" ht="12" customHeight="1" x14ac:dyDescent="0.15">
      <c r="A1" s="183" t="s">
        <v>212</v>
      </c>
      <c r="B1" s="184"/>
      <c r="C1" s="184"/>
      <c r="D1" s="184"/>
    </row>
    <row r="2" spans="1:15" x14ac:dyDescent="0.15">
      <c r="B2" s="41"/>
      <c r="C2" s="41"/>
      <c r="D2" s="41"/>
      <c r="E2" s="42"/>
      <c r="F2" s="42"/>
      <c r="G2" s="43" t="s">
        <v>116</v>
      </c>
      <c r="H2" s="43"/>
      <c r="I2" s="41">
        <v>42527</v>
      </c>
      <c r="J2" s="41">
        <v>42892</v>
      </c>
      <c r="K2" s="41">
        <v>43257</v>
      </c>
      <c r="L2" s="41"/>
      <c r="M2" s="41"/>
      <c r="N2" s="42"/>
      <c r="O2" s="42"/>
    </row>
    <row r="3" spans="1:15" ht="23" customHeight="1" x14ac:dyDescent="0.15">
      <c r="B3" s="41"/>
      <c r="C3" s="41"/>
      <c r="D3" s="41"/>
      <c r="E3" s="42"/>
      <c r="F3" s="109" t="s">
        <v>112</v>
      </c>
      <c r="G3" s="43"/>
      <c r="H3" s="43"/>
      <c r="I3" s="41"/>
      <c r="J3" s="41"/>
      <c r="K3" s="41"/>
      <c r="L3" s="41"/>
      <c r="M3" s="41"/>
      <c r="N3" s="42"/>
      <c r="O3" s="42"/>
    </row>
    <row r="4" spans="1:15" ht="12.75" customHeight="1" x14ac:dyDescent="0.15">
      <c r="B4" s="49" t="s">
        <v>8</v>
      </c>
      <c r="C4" s="45"/>
      <c r="D4" s="108">
        <v>0.47499999403953552</v>
      </c>
      <c r="E4" s="47"/>
      <c r="F4" s="48"/>
      <c r="G4" s="49" t="s">
        <v>8</v>
      </c>
      <c r="H4" s="49"/>
      <c r="I4" s="50">
        <v>0.49333333969116211</v>
      </c>
      <c r="J4" s="50">
        <v>0.49958333373069763</v>
      </c>
      <c r="K4" s="50">
        <v>0.50458335876464844</v>
      </c>
      <c r="L4" s="50"/>
      <c r="M4" s="46"/>
      <c r="N4" s="51"/>
      <c r="O4" s="51"/>
    </row>
    <row r="5" spans="1:15" ht="12" customHeight="1" x14ac:dyDescent="0.15">
      <c r="B5" s="49" t="s">
        <v>32</v>
      </c>
      <c r="C5" s="45"/>
      <c r="D5" s="108">
        <v>0.37299999594688416</v>
      </c>
      <c r="E5" s="47"/>
      <c r="F5" s="48"/>
      <c r="G5" s="49" t="s">
        <v>32</v>
      </c>
      <c r="H5" s="49"/>
      <c r="I5" s="50">
        <v>0.37299999594688416</v>
      </c>
      <c r="J5" s="50">
        <v>0.37299999594688416</v>
      </c>
      <c r="K5" s="50">
        <v>0.37299999594688416</v>
      </c>
      <c r="L5" s="50"/>
      <c r="M5" s="46"/>
      <c r="N5" s="51"/>
      <c r="O5" s="51"/>
    </row>
    <row r="6" spans="1:15" ht="12" customHeight="1" x14ac:dyDescent="0.15">
      <c r="B6" s="49" t="s">
        <v>34</v>
      </c>
      <c r="C6" s="45"/>
      <c r="D6" s="108">
        <v>8.3999998867511749E-2</v>
      </c>
      <c r="E6" s="47"/>
      <c r="F6" s="48"/>
      <c r="G6" s="49" t="s">
        <v>34</v>
      </c>
      <c r="H6" s="49"/>
      <c r="I6" s="50">
        <v>8.3999998867511749E-2</v>
      </c>
      <c r="J6" s="50">
        <v>8.3999998867511749E-2</v>
      </c>
      <c r="K6" s="50">
        <v>8.3999998867511749E-2</v>
      </c>
      <c r="L6" s="50"/>
      <c r="M6" s="46"/>
      <c r="N6" s="51"/>
      <c r="O6" s="51"/>
    </row>
    <row r="7" spans="1:15" x14ac:dyDescent="0.15">
      <c r="B7" s="49" t="s">
        <v>35</v>
      </c>
      <c r="C7" s="45"/>
      <c r="D7" s="108">
        <v>0.24899999797344208</v>
      </c>
      <c r="E7" s="47"/>
      <c r="F7" s="48"/>
      <c r="G7" s="49" t="s">
        <v>35</v>
      </c>
      <c r="H7" s="49"/>
      <c r="I7" s="50">
        <v>0.24899999797344208</v>
      </c>
      <c r="J7" s="50">
        <v>0.24899999797344208</v>
      </c>
      <c r="K7" s="50">
        <v>0.24899999797344208</v>
      </c>
      <c r="L7" s="50"/>
      <c r="M7" s="46"/>
      <c r="N7" s="51"/>
      <c r="O7" s="51"/>
    </row>
    <row r="8" spans="1:15" x14ac:dyDescent="0.15">
      <c r="B8" s="53"/>
      <c r="C8" s="46"/>
      <c r="D8" s="108"/>
      <c r="E8" s="47"/>
      <c r="F8" s="47"/>
      <c r="G8" s="49" t="s">
        <v>149</v>
      </c>
      <c r="H8" s="49"/>
      <c r="I8" s="50"/>
      <c r="J8" s="50">
        <v>2.9999999329447746E-2</v>
      </c>
      <c r="K8" s="50">
        <v>2.9999999329447746E-2</v>
      </c>
      <c r="L8" s="46"/>
      <c r="M8" s="46"/>
      <c r="N8" s="51"/>
      <c r="O8" s="51"/>
    </row>
    <row r="9" spans="1:15" x14ac:dyDescent="0.15">
      <c r="B9" s="54" t="s">
        <v>141</v>
      </c>
      <c r="C9" s="38"/>
      <c r="D9" s="38"/>
      <c r="E9" s="39"/>
      <c r="F9" s="39"/>
      <c r="G9" s="38"/>
      <c r="H9" s="38"/>
      <c r="I9" s="55" t="s">
        <v>100</v>
      </c>
      <c r="J9" s="55" t="s">
        <v>216</v>
      </c>
      <c r="K9" s="55" t="s">
        <v>217</v>
      </c>
      <c r="L9" s="55" t="s">
        <v>59</v>
      </c>
      <c r="M9" s="56"/>
      <c r="N9" s="57" t="s">
        <v>101</v>
      </c>
      <c r="O9" s="57" t="s">
        <v>87</v>
      </c>
    </row>
    <row r="10" spans="1:15" x14ac:dyDescent="0.15">
      <c r="B10" s="36">
        <v>0</v>
      </c>
      <c r="C10" s="59" t="s">
        <v>60</v>
      </c>
      <c r="D10" s="60"/>
      <c r="E10" s="55" t="s">
        <v>46</v>
      </c>
      <c r="F10" s="55" t="s">
        <v>142</v>
      </c>
      <c r="G10" s="61"/>
      <c r="H10" s="60"/>
      <c r="I10" s="62"/>
      <c r="J10" s="62"/>
      <c r="K10" s="62"/>
      <c r="L10" s="62"/>
      <c r="M10" s="38"/>
      <c r="N10" s="63"/>
      <c r="O10" s="40"/>
    </row>
    <row r="11" spans="1:15" x14ac:dyDescent="0.15">
      <c r="B11" s="36">
        <f>FacInflationPct</f>
        <v>0</v>
      </c>
      <c r="C11" s="3"/>
      <c r="D11" s="88" t="s">
        <v>213</v>
      </c>
      <c r="E11" s="87">
        <v>0</v>
      </c>
      <c r="F11" s="31">
        <v>0</v>
      </c>
      <c r="G11" s="22" t="s">
        <v>61</v>
      </c>
      <c r="H11" s="7">
        <f>$E11/9*$F11</f>
        <v>0</v>
      </c>
      <c r="I11" s="88">
        <f>H11*(1+$B11)</f>
        <v>0</v>
      </c>
      <c r="J11" s="88">
        <f>I11*(1+$B11)</f>
        <v>0</v>
      </c>
      <c r="K11" s="88">
        <f>J11*(1+$B11)</f>
        <v>0</v>
      </c>
      <c r="L11" s="7">
        <f>SUM( $I$11:$K$11)</f>
        <v>0</v>
      </c>
      <c r="M11" s="7"/>
      <c r="N11" s="27" t="s">
        <v>102</v>
      </c>
      <c r="O11" s="27" t="s">
        <v>89</v>
      </c>
    </row>
    <row r="12" spans="1:15" x14ac:dyDescent="0.15">
      <c r="B12" s="36">
        <f>FacInflationPct</f>
        <v>0</v>
      </c>
      <c r="C12" s="3"/>
      <c r="D12" s="32"/>
      <c r="E12" s="151"/>
      <c r="F12" s="31">
        <v>0</v>
      </c>
      <c r="G12" s="22" t="s">
        <v>62</v>
      </c>
      <c r="H12" s="7">
        <f>$E11/9*$F12</f>
        <v>0</v>
      </c>
      <c r="I12" s="88">
        <f>H12*(1+$B12)</f>
        <v>0</v>
      </c>
      <c r="J12" s="88">
        <f>I12*(1+$B12)</f>
        <v>0</v>
      </c>
      <c r="K12" s="88">
        <f>J12*(1+$B12)</f>
        <v>0</v>
      </c>
      <c r="L12" s="8">
        <f>SUM( $I$12:$K$12)</f>
        <v>0</v>
      </c>
      <c r="M12" s="8"/>
      <c r="N12" s="27" t="s">
        <v>102</v>
      </c>
      <c r="O12" s="27" t="s">
        <v>88</v>
      </c>
    </row>
    <row r="13" spans="1:15" x14ac:dyDescent="0.15">
      <c r="B13" s="91"/>
      <c r="C13" s="46"/>
      <c r="D13" s="64" t="s">
        <v>63</v>
      </c>
      <c r="E13" s="65"/>
      <c r="F13" s="65"/>
      <c r="G13" s="66"/>
      <c r="H13" s="66"/>
      <c r="I13" s="46">
        <f>SUM( I11:I12)</f>
        <v>0</v>
      </c>
      <c r="J13" s="46">
        <f>SUM( J11:J12)</f>
        <v>0</v>
      </c>
      <c r="K13" s="46">
        <f>SUM( K11:K12)</f>
        <v>0</v>
      </c>
      <c r="L13" s="46">
        <f>SUM( $I$13:$K$13)</f>
        <v>0</v>
      </c>
      <c r="M13" s="46"/>
      <c r="N13" s="51"/>
      <c r="O13" s="51"/>
    </row>
    <row r="14" spans="1:15" x14ac:dyDescent="0.15">
      <c r="B14" s="67"/>
      <c r="C14" s="68" t="s">
        <v>64</v>
      </c>
      <c r="D14" s="38"/>
      <c r="E14" s="39"/>
      <c r="F14" s="39"/>
      <c r="G14" s="38"/>
      <c r="H14" s="38"/>
      <c r="I14" s="69"/>
      <c r="J14" s="69"/>
      <c r="K14" s="69"/>
      <c r="L14" s="69">
        <f>SUM( $I$14:$K$14)</f>
        <v>0</v>
      </c>
      <c r="M14" s="69"/>
      <c r="N14" s="70"/>
      <c r="O14" s="70"/>
    </row>
    <row r="15" spans="1:15" x14ac:dyDescent="0.15">
      <c r="B15" s="71"/>
      <c r="C15" s="72"/>
      <c r="D15" s="68" t="s">
        <v>65</v>
      </c>
      <c r="E15" s="69"/>
      <c r="F15" s="69"/>
      <c r="G15" s="73"/>
      <c r="H15" s="73">
        <v>0</v>
      </c>
      <c r="I15" s="30">
        <f>H15*(1+I$8)</f>
        <v>0</v>
      </c>
      <c r="J15" s="30">
        <f>I15*(1+J$8)</f>
        <v>0</v>
      </c>
      <c r="K15" s="30">
        <f>J15*(1+K$8)</f>
        <v>0</v>
      </c>
      <c r="L15" s="69">
        <f>SUM( $I$15:$K$15)</f>
        <v>0</v>
      </c>
      <c r="M15" s="69"/>
      <c r="N15" s="70" t="s">
        <v>102</v>
      </c>
      <c r="O15" s="70" t="s">
        <v>103</v>
      </c>
    </row>
    <row r="16" spans="1:15" x14ac:dyDescent="0.15">
      <c r="B16" s="71"/>
      <c r="C16" s="72"/>
      <c r="D16" s="68" t="s">
        <v>143</v>
      </c>
      <c r="E16" s="69"/>
      <c r="F16" s="69"/>
      <c r="G16" s="69"/>
      <c r="H16" s="73">
        <v>0</v>
      </c>
      <c r="I16" s="30">
        <f t="shared" ref="I16:K22" si="0">H16*(1+I$8)</f>
        <v>0</v>
      </c>
      <c r="J16" s="30">
        <f t="shared" si="0"/>
        <v>0</v>
      </c>
      <c r="K16" s="30">
        <f t="shared" si="0"/>
        <v>0</v>
      </c>
      <c r="L16" s="69">
        <f>SUM( $I$16:$K$16)</f>
        <v>0</v>
      </c>
      <c r="M16" s="69"/>
      <c r="N16" s="70" t="s">
        <v>102</v>
      </c>
      <c r="O16" s="70" t="s">
        <v>88</v>
      </c>
    </row>
    <row r="17" spans="2:15" x14ac:dyDescent="0.15">
      <c r="B17" s="74"/>
      <c r="C17" s="75"/>
      <c r="D17" s="64" t="s">
        <v>95</v>
      </c>
      <c r="E17" s="66"/>
      <c r="F17" s="66"/>
      <c r="G17" s="76" t="s">
        <v>15</v>
      </c>
      <c r="H17" s="73">
        <v>0</v>
      </c>
      <c r="I17" s="66">
        <f>SUM(I15:I16)</f>
        <v>0</v>
      </c>
      <c r="J17" s="66">
        <f>SUM(J15:J16)</f>
        <v>0</v>
      </c>
      <c r="K17" s="66">
        <f>SUM(K15:K16)</f>
        <v>0</v>
      </c>
      <c r="L17" s="66">
        <f>SUM( $I$17:$K$17)</f>
        <v>0</v>
      </c>
      <c r="M17" s="66"/>
      <c r="N17" s="77"/>
      <c r="O17" s="77"/>
    </row>
    <row r="18" spans="2:15" x14ac:dyDescent="0.15">
      <c r="B18" s="71"/>
      <c r="C18" s="72"/>
      <c r="D18" s="68" t="s">
        <v>66</v>
      </c>
      <c r="E18" s="69"/>
      <c r="F18" s="69"/>
      <c r="G18" s="73" t="s">
        <v>16</v>
      </c>
      <c r="H18" s="73">
        <v>0</v>
      </c>
      <c r="I18" s="30">
        <f t="shared" si="0"/>
        <v>0</v>
      </c>
      <c r="J18" s="30">
        <f t="shared" si="0"/>
        <v>0</v>
      </c>
      <c r="K18" s="30">
        <f t="shared" si="0"/>
        <v>0</v>
      </c>
      <c r="L18" s="69">
        <f>SUM( $I$18:$K$18)</f>
        <v>0</v>
      </c>
      <c r="M18" s="69"/>
      <c r="N18" s="70" t="s">
        <v>102</v>
      </c>
      <c r="O18" s="70" t="s">
        <v>90</v>
      </c>
    </row>
    <row r="19" spans="2:15" x14ac:dyDescent="0.15">
      <c r="B19" s="71"/>
      <c r="C19" s="72"/>
      <c r="D19" s="68" t="s">
        <v>67</v>
      </c>
      <c r="E19" s="69"/>
      <c r="F19" s="69"/>
      <c r="G19" s="73" t="s">
        <v>17</v>
      </c>
      <c r="H19" s="73">
        <v>0</v>
      </c>
      <c r="I19" s="30">
        <f t="shared" si="0"/>
        <v>0</v>
      </c>
      <c r="J19" s="30">
        <f t="shared" si="0"/>
        <v>0</v>
      </c>
      <c r="K19" s="30">
        <f t="shared" si="0"/>
        <v>0</v>
      </c>
      <c r="L19" s="69">
        <f>SUM( $I$19:$K$19)</f>
        <v>0</v>
      </c>
      <c r="M19" s="69"/>
      <c r="N19" s="70" t="s">
        <v>102</v>
      </c>
      <c r="O19" s="70" t="s">
        <v>89</v>
      </c>
    </row>
    <row r="20" spans="2:15" x14ac:dyDescent="0.15">
      <c r="B20" s="71"/>
      <c r="C20" s="72"/>
      <c r="D20" s="68" t="s">
        <v>68</v>
      </c>
      <c r="E20" s="69"/>
      <c r="F20" s="69"/>
      <c r="G20" s="73" t="s">
        <v>19</v>
      </c>
      <c r="H20" s="73">
        <v>0</v>
      </c>
      <c r="I20" s="30">
        <f t="shared" si="0"/>
        <v>0</v>
      </c>
      <c r="J20" s="30">
        <f t="shared" si="0"/>
        <v>0</v>
      </c>
      <c r="K20" s="30">
        <f t="shared" si="0"/>
        <v>0</v>
      </c>
      <c r="L20" s="69">
        <f>SUM( $I$20:$K$20)</f>
        <v>0</v>
      </c>
      <c r="M20" s="69"/>
      <c r="N20" s="70" t="s">
        <v>102</v>
      </c>
      <c r="O20" s="70" t="s">
        <v>89</v>
      </c>
    </row>
    <row r="21" spans="2:15" x14ac:dyDescent="0.15">
      <c r="B21" s="71"/>
      <c r="C21" s="72"/>
      <c r="D21" s="68" t="s">
        <v>144</v>
      </c>
      <c r="E21" s="69"/>
      <c r="F21" s="69"/>
      <c r="G21" s="73" t="s">
        <v>20</v>
      </c>
      <c r="H21" s="73">
        <v>0</v>
      </c>
      <c r="I21" s="30">
        <f t="shared" si="0"/>
        <v>0</v>
      </c>
      <c r="J21" s="30">
        <f t="shared" si="0"/>
        <v>0</v>
      </c>
      <c r="K21" s="30">
        <f t="shared" si="0"/>
        <v>0</v>
      </c>
      <c r="L21" s="69">
        <f>SUM( $I$21:$K$21)</f>
        <v>0</v>
      </c>
      <c r="M21" s="69"/>
      <c r="N21" s="70" t="s">
        <v>102</v>
      </c>
      <c r="O21" s="70" t="s">
        <v>88</v>
      </c>
    </row>
    <row r="22" spans="2:15" x14ac:dyDescent="0.15">
      <c r="B22" s="71"/>
      <c r="C22" s="72"/>
      <c r="D22" s="68" t="s">
        <v>145</v>
      </c>
      <c r="E22" s="69"/>
      <c r="F22" s="69"/>
      <c r="G22" s="73" t="s">
        <v>20</v>
      </c>
      <c r="H22" s="73">
        <v>0</v>
      </c>
      <c r="I22" s="30">
        <f t="shared" si="0"/>
        <v>0</v>
      </c>
      <c r="J22" s="30">
        <f t="shared" si="0"/>
        <v>0</v>
      </c>
      <c r="K22" s="30">
        <f t="shared" si="0"/>
        <v>0</v>
      </c>
      <c r="L22" s="69">
        <f>SUM( $I$22:$K$22)</f>
        <v>0</v>
      </c>
      <c r="M22" s="38"/>
      <c r="N22" s="40" t="s">
        <v>102</v>
      </c>
      <c r="O22" s="40" t="s">
        <v>103</v>
      </c>
    </row>
    <row r="23" spans="2:15" x14ac:dyDescent="0.15">
      <c r="B23" s="45"/>
      <c r="C23" s="46"/>
      <c r="D23" s="64" t="s">
        <v>69</v>
      </c>
      <c r="E23" s="47"/>
      <c r="F23" s="47"/>
      <c r="G23" s="46"/>
      <c r="H23" s="46"/>
      <c r="I23" s="46">
        <f>SUM(I18:I22)+I17+I13</f>
        <v>0</v>
      </c>
      <c r="J23" s="46">
        <f>SUM(J18:J22)+J17+J13</f>
        <v>0</v>
      </c>
      <c r="K23" s="46">
        <f>SUM(K18:K22)+K17+K13</f>
        <v>0</v>
      </c>
      <c r="L23" s="46">
        <f>SUM( $I$23:$K$23)</f>
        <v>0</v>
      </c>
      <c r="M23" s="46"/>
      <c r="N23" s="51"/>
      <c r="O23" s="51"/>
    </row>
    <row r="24" spans="2:15" ht="21.75" customHeight="1" x14ac:dyDescent="0.15">
      <c r="B24" s="67"/>
      <c r="C24" s="68" t="s">
        <v>70</v>
      </c>
      <c r="D24" s="69"/>
      <c r="E24" s="69"/>
      <c r="F24" s="69"/>
      <c r="G24" s="78" t="s">
        <v>131</v>
      </c>
      <c r="H24" s="78">
        <v>0</v>
      </c>
      <c r="I24" s="69">
        <f>(SUMIF($O10:$O22,"FF",I10:I22)*I5) + (SUMIF($O10:$O22,"PF",I10:I22)*I6) + (SUMIF($O10:$O22,"PD",I10:I22)*I7)</f>
        <v>0</v>
      </c>
      <c r="J24" s="69">
        <f>(SUMIF($O10:$O22,"FF",J10:J22)*J5) + (SUMIF($O10:$O22,"PF",J10:J22)*J6) + (SUMIF($O10:$O22,"PD",J10:J22)*J7)</f>
        <v>0</v>
      </c>
      <c r="K24" s="69">
        <f>(SUMIF($O10:$O22,"FF",K10:K22)*K5) + (SUMIF($O10:$O22,"PF",K10:K22)*K6) + (SUMIF($O10:$O22,"PD",K10:K22)*K7)</f>
        <v>0</v>
      </c>
      <c r="L24" s="79">
        <f>SUM( $I$24:$K$24)</f>
        <v>0</v>
      </c>
      <c r="M24" s="38"/>
      <c r="N24" s="40" t="s">
        <v>102</v>
      </c>
      <c r="O24" s="40"/>
    </row>
    <row r="25" spans="2:15" ht="26.25" customHeight="1" x14ac:dyDescent="0.15">
      <c r="B25" s="45"/>
      <c r="C25" s="46"/>
      <c r="D25" s="64" t="s">
        <v>71</v>
      </c>
      <c r="E25" s="47"/>
      <c r="F25" s="47"/>
      <c r="G25" s="46"/>
      <c r="H25" s="46"/>
      <c r="I25" s="46">
        <f>SUM(I23+I24)</f>
        <v>0</v>
      </c>
      <c r="J25" s="46">
        <f>SUM(J23+J24)</f>
        <v>0</v>
      </c>
      <c r="K25" s="46">
        <f>SUM(K23+K24)</f>
        <v>0</v>
      </c>
      <c r="L25" s="46">
        <f>SUM( $I$25:$K$25)</f>
        <v>0</v>
      </c>
      <c r="M25" s="46"/>
      <c r="N25" s="51"/>
      <c r="O25" s="51"/>
    </row>
    <row r="26" spans="2:15" x14ac:dyDescent="0.15">
      <c r="B26" s="37"/>
      <c r="C26" s="38" t="s">
        <v>72</v>
      </c>
      <c r="D26" s="38"/>
      <c r="E26" s="39"/>
      <c r="F26" s="39"/>
      <c r="G26" s="78">
        <v>721100</v>
      </c>
      <c r="H26" s="78">
        <v>0</v>
      </c>
      <c r="I26" s="88">
        <v>0</v>
      </c>
      <c r="J26" s="88">
        <v>0</v>
      </c>
      <c r="K26" s="88">
        <v>0</v>
      </c>
      <c r="L26" s="38">
        <f>SUM( $I$26:$K$26)</f>
        <v>0</v>
      </c>
      <c r="M26" s="38"/>
      <c r="N26" s="40" t="s">
        <v>106</v>
      </c>
      <c r="O26" s="40"/>
    </row>
    <row r="27" spans="2:15" x14ac:dyDescent="0.15">
      <c r="B27" s="37"/>
      <c r="C27" s="38" t="s">
        <v>73</v>
      </c>
      <c r="D27" s="38"/>
      <c r="E27" s="39"/>
      <c r="F27" s="39"/>
      <c r="G27" s="78">
        <v>740000</v>
      </c>
      <c r="H27" s="78">
        <v>0</v>
      </c>
      <c r="I27" s="88">
        <v>0</v>
      </c>
      <c r="J27" s="88">
        <v>0</v>
      </c>
      <c r="K27" s="88">
        <v>0</v>
      </c>
      <c r="L27" s="38">
        <f>SUM( $I$27:$K$27)</f>
        <v>0</v>
      </c>
      <c r="M27" s="38"/>
      <c r="N27" s="40" t="s">
        <v>106</v>
      </c>
      <c r="O27" s="40"/>
    </row>
    <row r="28" spans="2:15" x14ac:dyDescent="0.15">
      <c r="B28" s="89"/>
      <c r="C28" s="38" t="s">
        <v>74</v>
      </c>
      <c r="D28" s="38"/>
      <c r="E28" s="39"/>
      <c r="F28" s="39"/>
      <c r="G28" s="78">
        <v>710000</v>
      </c>
      <c r="H28" s="78">
        <v>0</v>
      </c>
      <c r="I28" s="88">
        <v>0</v>
      </c>
      <c r="J28" s="88">
        <v>0</v>
      </c>
      <c r="K28" s="88">
        <v>0</v>
      </c>
      <c r="L28" s="38">
        <f>SUM( $I$28:$K$28)</f>
        <v>0</v>
      </c>
      <c r="M28" s="38"/>
      <c r="N28" s="40" t="s">
        <v>102</v>
      </c>
      <c r="O28" s="40"/>
    </row>
    <row r="29" spans="2:15" x14ac:dyDescent="0.15">
      <c r="B29" s="45"/>
      <c r="C29" s="46" t="s">
        <v>75</v>
      </c>
      <c r="D29" s="46"/>
      <c r="E29" s="47"/>
      <c r="F29" s="47"/>
      <c r="G29" s="81"/>
      <c r="H29" s="81"/>
      <c r="I29" s="46"/>
      <c r="J29" s="46"/>
      <c r="K29" s="46"/>
      <c r="L29" s="46">
        <f>SUM( $I$29:$K$29)</f>
        <v>0</v>
      </c>
      <c r="M29" s="46"/>
      <c r="N29" s="51"/>
      <c r="O29" s="51"/>
    </row>
    <row r="30" spans="2:15" x14ac:dyDescent="0.15">
      <c r="B30" s="89"/>
      <c r="C30" s="38"/>
      <c r="D30" s="38" t="s">
        <v>96</v>
      </c>
      <c r="E30" s="39"/>
      <c r="F30" s="39"/>
      <c r="G30" s="78">
        <v>711200</v>
      </c>
      <c r="H30" s="78">
        <v>0</v>
      </c>
      <c r="I30" s="88">
        <v>0</v>
      </c>
      <c r="J30" s="88">
        <v>0</v>
      </c>
      <c r="K30" s="88">
        <v>0</v>
      </c>
      <c r="L30" s="38">
        <f>SUM( $I$30:$K$30)</f>
        <v>0</v>
      </c>
      <c r="M30" s="38"/>
      <c r="N30" s="40" t="s">
        <v>102</v>
      </c>
      <c r="O30" s="40"/>
    </row>
    <row r="31" spans="2:15" x14ac:dyDescent="0.15">
      <c r="B31" s="89"/>
      <c r="C31" s="38"/>
      <c r="D31" s="38" t="s">
        <v>97</v>
      </c>
      <c r="E31" s="39"/>
      <c r="F31" s="39"/>
      <c r="G31" s="78">
        <v>711200</v>
      </c>
      <c r="H31" s="78">
        <v>0</v>
      </c>
      <c r="I31" s="88">
        <v>0</v>
      </c>
      <c r="J31" s="88">
        <v>0</v>
      </c>
      <c r="K31" s="88">
        <v>0</v>
      </c>
      <c r="L31" s="38">
        <f>SUM( $I$31:$K$31)</f>
        <v>0</v>
      </c>
      <c r="M31" s="38"/>
      <c r="N31" s="40" t="s">
        <v>102</v>
      </c>
      <c r="O31" s="40"/>
    </row>
    <row r="32" spans="2:15" x14ac:dyDescent="0.15">
      <c r="B32" s="89"/>
      <c r="C32" s="38"/>
      <c r="D32" s="38" t="s">
        <v>98</v>
      </c>
      <c r="E32" s="39"/>
      <c r="F32" s="39"/>
      <c r="G32" s="78">
        <v>717000</v>
      </c>
      <c r="H32" s="78">
        <v>0</v>
      </c>
      <c r="I32" s="88">
        <v>0</v>
      </c>
      <c r="J32" s="88">
        <v>0</v>
      </c>
      <c r="K32" s="88">
        <v>0</v>
      </c>
      <c r="L32" s="38">
        <f>SUM( $I$32:$K$32)</f>
        <v>0</v>
      </c>
      <c r="M32" s="38"/>
      <c r="N32" s="40" t="s">
        <v>102</v>
      </c>
      <c r="O32" s="40"/>
    </row>
    <row r="33" spans="2:15" x14ac:dyDescent="0.15">
      <c r="B33" s="90"/>
      <c r="C33" s="38"/>
      <c r="D33" s="38" t="s">
        <v>99</v>
      </c>
      <c r="E33" s="39"/>
      <c r="F33" s="39"/>
      <c r="G33" s="78">
        <v>711200</v>
      </c>
      <c r="H33" s="78">
        <v>0</v>
      </c>
      <c r="I33" s="88">
        <v>0</v>
      </c>
      <c r="J33" s="88">
        <v>0</v>
      </c>
      <c r="K33" s="88">
        <v>0</v>
      </c>
      <c r="L33" s="38">
        <f>SUM( $I$33:$K$33)</f>
        <v>0</v>
      </c>
      <c r="M33" s="38"/>
      <c r="N33" s="40" t="s">
        <v>102</v>
      </c>
      <c r="O33" s="40"/>
    </row>
    <row r="34" spans="2:15" x14ac:dyDescent="0.15">
      <c r="B34" s="37"/>
      <c r="C34" s="38"/>
      <c r="D34" s="38" t="s">
        <v>50</v>
      </c>
      <c r="E34" s="39"/>
      <c r="F34" s="39"/>
      <c r="G34" s="78"/>
      <c r="H34" s="78">
        <v>0</v>
      </c>
      <c r="I34" s="38">
        <v>0</v>
      </c>
      <c r="J34" s="38">
        <v>0</v>
      </c>
      <c r="K34" s="38">
        <v>0</v>
      </c>
      <c r="L34" s="38">
        <f>SUM( $I$34:$K$34)</f>
        <v>0</v>
      </c>
      <c r="M34" s="38"/>
      <c r="N34" s="40" t="s">
        <v>102</v>
      </c>
      <c r="O34" s="40"/>
    </row>
    <row r="35" spans="2:15" x14ac:dyDescent="0.15">
      <c r="B35" s="37"/>
      <c r="C35" s="38"/>
      <c r="D35" s="38" t="s">
        <v>51</v>
      </c>
      <c r="E35" s="39"/>
      <c r="F35" s="39"/>
      <c r="G35" s="78"/>
      <c r="H35" s="78">
        <v>0</v>
      </c>
      <c r="I35" s="38">
        <v>0</v>
      </c>
      <c r="J35" s="38">
        <v>0</v>
      </c>
      <c r="K35" s="38">
        <v>0</v>
      </c>
      <c r="L35" s="38">
        <f>SUM( $I$35:$K$35)</f>
        <v>0</v>
      </c>
      <c r="M35" s="38"/>
      <c r="N35" s="40" t="s">
        <v>106</v>
      </c>
      <c r="O35" s="40"/>
    </row>
    <row r="36" spans="2:15" x14ac:dyDescent="0.15">
      <c r="B36" s="45"/>
      <c r="C36" s="46"/>
      <c r="D36" s="46" t="s">
        <v>49</v>
      </c>
      <c r="E36" s="47"/>
      <c r="F36" s="47"/>
      <c r="G36" s="81">
        <v>730001</v>
      </c>
      <c r="H36" s="81">
        <v>0</v>
      </c>
      <c r="I36" s="46">
        <f>SUM(I34:I35)</f>
        <v>0</v>
      </c>
      <c r="J36" s="46">
        <f>SUM(J34:J35)</f>
        <v>0</v>
      </c>
      <c r="K36" s="46">
        <f>SUM(K34:K35)</f>
        <v>0</v>
      </c>
      <c r="L36" s="46">
        <f>SUM( $I$36:$K$36)</f>
        <v>0</v>
      </c>
      <c r="M36" s="46"/>
      <c r="N36" s="51"/>
      <c r="O36" s="51"/>
    </row>
    <row r="37" spans="2:15" x14ac:dyDescent="0.15">
      <c r="B37" s="90"/>
      <c r="C37" s="38"/>
      <c r="D37" s="38" t="s">
        <v>5</v>
      </c>
      <c r="E37" s="39"/>
      <c r="F37" s="39"/>
      <c r="G37" s="78">
        <v>717200</v>
      </c>
      <c r="H37" s="78">
        <v>0</v>
      </c>
      <c r="I37" s="88">
        <v>0</v>
      </c>
      <c r="J37" s="88">
        <v>0</v>
      </c>
      <c r="K37" s="88">
        <v>0</v>
      </c>
      <c r="L37" s="38">
        <f>SUM( $I$37:$K$37)</f>
        <v>0</v>
      </c>
      <c r="M37" s="38"/>
      <c r="N37" s="40" t="s">
        <v>102</v>
      </c>
      <c r="O37" s="40"/>
    </row>
    <row r="38" spans="2:15" x14ac:dyDescent="0.15">
      <c r="B38" s="89"/>
      <c r="C38" s="38"/>
      <c r="D38" s="38" t="s">
        <v>6</v>
      </c>
      <c r="E38" s="39"/>
      <c r="F38" s="39"/>
      <c r="G38" s="78">
        <v>722200</v>
      </c>
      <c r="H38" s="78">
        <v>0</v>
      </c>
      <c r="I38" s="88">
        <v>0</v>
      </c>
      <c r="J38" s="88">
        <v>0</v>
      </c>
      <c r="K38" s="88">
        <v>0</v>
      </c>
      <c r="L38" s="38">
        <f>SUM( $I$38:$K$38)</f>
        <v>0</v>
      </c>
      <c r="M38" s="38"/>
      <c r="N38" s="40" t="s">
        <v>106</v>
      </c>
      <c r="O38" s="40"/>
    </row>
    <row r="39" spans="2:15" x14ac:dyDescent="0.15">
      <c r="B39" s="89"/>
      <c r="C39" s="38"/>
      <c r="D39" s="38" t="s">
        <v>52</v>
      </c>
      <c r="E39" s="39"/>
      <c r="F39" s="39"/>
      <c r="G39" s="38"/>
      <c r="H39" s="78">
        <v>0</v>
      </c>
      <c r="I39" s="88">
        <v>0</v>
      </c>
      <c r="J39" s="88">
        <v>0</v>
      </c>
      <c r="K39" s="88">
        <v>0</v>
      </c>
      <c r="L39" s="38">
        <f>SUM( $I$39:$K$39)</f>
        <v>0</v>
      </c>
      <c r="M39" s="38"/>
      <c r="N39" s="63" t="s">
        <v>102</v>
      </c>
      <c r="O39" s="40"/>
    </row>
    <row r="40" spans="2:15" x14ac:dyDescent="0.15">
      <c r="B40" s="89"/>
      <c r="C40" s="38"/>
      <c r="D40" s="38" t="s">
        <v>53</v>
      </c>
      <c r="E40" s="39"/>
      <c r="F40" s="39"/>
      <c r="G40" s="38"/>
      <c r="H40" s="78">
        <v>0</v>
      </c>
      <c r="I40" s="88">
        <v>0</v>
      </c>
      <c r="J40" s="88">
        <v>0</v>
      </c>
      <c r="K40" s="88">
        <v>0</v>
      </c>
      <c r="L40" s="38">
        <f>SUM( $I$40:$K$40)</f>
        <v>0</v>
      </c>
      <c r="M40" s="38"/>
      <c r="N40" s="40" t="s">
        <v>106</v>
      </c>
      <c r="O40" s="40"/>
    </row>
    <row r="41" spans="2:15" ht="30.75" customHeight="1" x14ac:dyDescent="0.15">
      <c r="B41" s="46"/>
      <c r="C41" s="46"/>
      <c r="D41" s="46" t="s">
        <v>76</v>
      </c>
      <c r="E41" s="47"/>
      <c r="F41" s="47"/>
      <c r="G41" s="46"/>
      <c r="H41" s="46">
        <f>SUM(H25:H35,H37:H40)</f>
        <v>0</v>
      </c>
      <c r="I41" s="46">
        <f>SUM(I25:I35,I37:I40)</f>
        <v>0</v>
      </c>
      <c r="J41" s="46">
        <f>SUM(J25:J35,J37:J40)</f>
        <v>0</v>
      </c>
      <c r="K41" s="46">
        <f>SUM(K25:K35,K37:K40)</f>
        <v>0</v>
      </c>
      <c r="L41" s="46">
        <f>SUM( $I$41:$K$41)</f>
        <v>0</v>
      </c>
      <c r="M41" s="46"/>
      <c r="N41" s="51"/>
      <c r="O41" s="51"/>
    </row>
    <row r="42" spans="2:15" ht="29" customHeight="1" x14ac:dyDescent="0.15">
      <c r="B42" s="106"/>
      <c r="C42" s="106"/>
      <c r="D42" s="106" t="s">
        <v>11</v>
      </c>
      <c r="E42" s="107"/>
      <c r="F42" s="107"/>
      <c r="G42" s="106"/>
      <c r="H42" s="106">
        <f>SUMIF($N$10:$N$40,"Y",H10:H40)</f>
        <v>0</v>
      </c>
      <c r="I42" s="106">
        <f>SUMIF($N$10:$N$40,"Y",I10:I40)</f>
        <v>0</v>
      </c>
      <c r="J42" s="106">
        <f>SUMIF($N$10:$N$40,"Y",J10:J40)</f>
        <v>0</v>
      </c>
      <c r="K42" s="106">
        <f>SUMIF($N$10:$N$40,"Y",K10:K40)</f>
        <v>0</v>
      </c>
      <c r="L42" s="106">
        <f>SUM( $I$42:$K$42)</f>
        <v>0</v>
      </c>
      <c r="M42" s="106"/>
      <c r="N42" s="107"/>
      <c r="O42" s="107"/>
    </row>
    <row r="43" spans="2:15" ht="28" customHeight="1" x14ac:dyDescent="0.15">
      <c r="B43" s="38"/>
      <c r="C43" s="38" t="s">
        <v>77</v>
      </c>
      <c r="D43" s="38"/>
      <c r="E43" s="39"/>
      <c r="F43" s="39"/>
      <c r="G43" s="78"/>
      <c r="H43" s="38">
        <f>H4*H42</f>
        <v>0</v>
      </c>
      <c r="I43" s="38">
        <f>I4*I42</f>
        <v>0</v>
      </c>
      <c r="J43" s="38">
        <f>J4*J42</f>
        <v>0</v>
      </c>
      <c r="K43" s="38">
        <f>K4*K42</f>
        <v>0</v>
      </c>
      <c r="L43" s="38">
        <f>SUM( $I$43:$K$43)</f>
        <v>0</v>
      </c>
      <c r="M43" s="38"/>
      <c r="N43" s="40"/>
      <c r="O43" s="40"/>
    </row>
    <row r="44" spans="2:15" ht="32" customHeight="1" x14ac:dyDescent="0.15">
      <c r="B44" s="46"/>
      <c r="C44" s="46"/>
      <c r="D44" s="46" t="s">
        <v>219</v>
      </c>
      <c r="E44" s="47"/>
      <c r="F44" s="47"/>
      <c r="G44" s="46"/>
      <c r="H44" s="46">
        <f>SUM(H43+H41)</f>
        <v>0</v>
      </c>
      <c r="I44" s="46">
        <f>SUM(I43+I41)</f>
        <v>0</v>
      </c>
      <c r="J44" s="46">
        <f>SUM(J43+J41)</f>
        <v>0</v>
      </c>
      <c r="K44" s="46">
        <f>SUM(K43+K41)</f>
        <v>0</v>
      </c>
      <c r="L44" s="46">
        <f>SUM( $I$44:$K$44)</f>
        <v>0</v>
      </c>
      <c r="M44" s="46"/>
      <c r="N44" s="51"/>
      <c r="O44" s="51"/>
    </row>
    <row r="45" spans="2:15" ht="29" customHeight="1" x14ac:dyDescent="0.15"/>
    <row r="47" spans="2:15" ht="29" customHeight="1" x14ac:dyDescent="0.15"/>
  </sheetData>
  <sheetProtection password="E81C" sheet="1" objects="1" scenarios="1"/>
  <phoneticPr fontId="2" type="noConversion"/>
  <dataValidations count="2">
    <dataValidation type="list" allowBlank="1" showInputMessage="1" showErrorMessage="1" sqref="O10:O22">
      <formula1>FBRateTypeList</formula1>
    </dataValidation>
    <dataValidation type="list" allowBlank="1" showInputMessage="1" showErrorMessage="1" sqref="N10:N44">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G31"/>
  <sheetViews>
    <sheetView showGridLines="0" workbookViewId="0">
      <selection activeCell="G13" sqref="G13"/>
    </sheetView>
  </sheetViews>
  <sheetFormatPr baseColWidth="10" defaultColWidth="8.83203125" defaultRowHeight="13" x14ac:dyDescent="0.15"/>
  <cols>
    <col min="1" max="1" width="8.6640625" style="169" customWidth="1"/>
    <col min="2" max="2" width="5.1640625" style="169" customWidth="1"/>
    <col min="3" max="4" width="8.83203125" style="169"/>
    <col min="5" max="5" width="8.83203125" style="169" customWidth="1"/>
    <col min="6" max="6" width="10.83203125" style="169" customWidth="1"/>
    <col min="7" max="7" width="7" style="169" customWidth="1"/>
    <col min="8" max="16384" width="8.83203125" style="169"/>
  </cols>
  <sheetData>
    <row r="1" spans="1:7" ht="12" customHeight="1" x14ac:dyDescent="0.15"/>
    <row r="2" spans="1:7" ht="25.5" customHeight="1" x14ac:dyDescent="0.15">
      <c r="A2" s="181"/>
      <c r="B2" s="189" t="s">
        <v>186</v>
      </c>
      <c r="C2" s="189"/>
      <c r="D2" s="189"/>
      <c r="E2" s="189"/>
      <c r="F2" s="189"/>
      <c r="G2" s="189"/>
    </row>
    <row r="3" spans="1:7" x14ac:dyDescent="0.15">
      <c r="A3" s="181"/>
      <c r="B3" s="189"/>
      <c r="C3" s="189"/>
      <c r="D3" s="189"/>
      <c r="E3" s="189"/>
      <c r="F3" s="189"/>
      <c r="G3" s="189"/>
    </row>
    <row r="4" spans="1:7" ht="14.25" customHeight="1" x14ac:dyDescent="0.15">
      <c r="A4" s="181"/>
      <c r="B4" s="189"/>
      <c r="C4" s="189"/>
      <c r="D4" s="189"/>
      <c r="E4" s="189"/>
      <c r="F4" s="189"/>
      <c r="G4" s="189"/>
    </row>
    <row r="5" spans="1:7" ht="14.25" customHeight="1" thickBot="1" x14ac:dyDescent="0.2"/>
    <row r="6" spans="1:7" ht="14" thickTop="1" x14ac:dyDescent="0.15">
      <c r="B6" s="170"/>
      <c r="C6" s="171"/>
      <c r="D6" s="171"/>
      <c r="E6" s="171"/>
      <c r="F6" s="172"/>
    </row>
    <row r="7" spans="1:7" x14ac:dyDescent="0.15">
      <c r="B7" s="193" t="s">
        <v>184</v>
      </c>
      <c r="C7" s="194"/>
      <c r="D7" s="194"/>
      <c r="E7" s="194"/>
      <c r="F7" s="195"/>
    </row>
    <row r="8" spans="1:7" ht="12.75" customHeight="1" x14ac:dyDescent="0.15">
      <c r="B8" s="193"/>
      <c r="C8" s="194"/>
      <c r="D8" s="194"/>
      <c r="E8" s="194"/>
      <c r="F8" s="195"/>
    </row>
    <row r="9" spans="1:7" x14ac:dyDescent="0.15">
      <c r="B9" s="193"/>
      <c r="C9" s="194"/>
      <c r="D9" s="194"/>
      <c r="E9" s="194"/>
      <c r="F9" s="195"/>
    </row>
    <row r="10" spans="1:7" x14ac:dyDescent="0.15">
      <c r="B10" s="173"/>
      <c r="F10" s="174"/>
    </row>
    <row r="11" spans="1:7" x14ac:dyDescent="0.15">
      <c r="B11" s="173"/>
      <c r="F11" s="174"/>
    </row>
    <row r="12" spans="1:7" x14ac:dyDescent="0.15">
      <c r="B12" s="173"/>
      <c r="F12" s="174"/>
    </row>
    <row r="13" spans="1:7" x14ac:dyDescent="0.15">
      <c r="B13" s="173"/>
      <c r="F13" s="174"/>
    </row>
    <row r="14" spans="1:7" x14ac:dyDescent="0.15">
      <c r="B14" s="173"/>
      <c r="F14" s="174"/>
    </row>
    <row r="15" spans="1:7" x14ac:dyDescent="0.15">
      <c r="B15" s="173"/>
      <c r="F15" s="174"/>
    </row>
    <row r="16" spans="1:7" x14ac:dyDescent="0.15">
      <c r="B16" s="173"/>
      <c r="F16" s="174"/>
    </row>
    <row r="17" spans="2:6" ht="12.75" customHeight="1" x14ac:dyDescent="0.15">
      <c r="B17" s="180"/>
      <c r="C17" s="178"/>
      <c r="D17" s="178"/>
      <c r="E17" s="178"/>
      <c r="F17" s="179"/>
    </row>
    <row r="18" spans="2:6" ht="12.75" customHeight="1" x14ac:dyDescent="0.15">
      <c r="B18" s="190" t="s">
        <v>183</v>
      </c>
      <c r="C18" s="191"/>
      <c r="D18" s="191"/>
      <c r="E18" s="191"/>
      <c r="F18" s="192"/>
    </row>
    <row r="19" spans="2:6" x14ac:dyDescent="0.15">
      <c r="B19" s="190"/>
      <c r="C19" s="191"/>
      <c r="D19" s="191"/>
      <c r="E19" s="191"/>
      <c r="F19" s="192"/>
    </row>
    <row r="20" spans="2:6" x14ac:dyDescent="0.15">
      <c r="B20" s="180"/>
      <c r="C20" s="178"/>
      <c r="D20" s="178"/>
      <c r="E20" s="178"/>
      <c r="F20" s="179"/>
    </row>
    <row r="21" spans="2:6" x14ac:dyDescent="0.15">
      <c r="B21" s="173"/>
      <c r="F21" s="174"/>
    </row>
    <row r="22" spans="2:6" x14ac:dyDescent="0.15">
      <c r="B22" s="173"/>
      <c r="F22" s="174"/>
    </row>
    <row r="23" spans="2:6" x14ac:dyDescent="0.15">
      <c r="B23" s="173"/>
      <c r="F23" s="174"/>
    </row>
    <row r="24" spans="2:6" x14ac:dyDescent="0.15">
      <c r="B24" s="173"/>
      <c r="F24" s="174"/>
    </row>
    <row r="25" spans="2:6" x14ac:dyDescent="0.15">
      <c r="B25" s="173"/>
      <c r="F25" s="174"/>
    </row>
    <row r="26" spans="2:6" x14ac:dyDescent="0.15">
      <c r="B26" s="173"/>
      <c r="F26" s="174"/>
    </row>
    <row r="27" spans="2:6" x14ac:dyDescent="0.15">
      <c r="B27" s="186" t="s">
        <v>185</v>
      </c>
      <c r="C27" s="187"/>
      <c r="D27" s="187"/>
      <c r="E27" s="187"/>
      <c r="F27" s="188"/>
    </row>
    <row r="28" spans="2:6" x14ac:dyDescent="0.15">
      <c r="B28" s="186"/>
      <c r="C28" s="187"/>
      <c r="D28" s="187"/>
      <c r="E28" s="187"/>
      <c r="F28" s="188"/>
    </row>
    <row r="29" spans="2:6" x14ac:dyDescent="0.15">
      <c r="B29" s="173"/>
      <c r="F29" s="174"/>
    </row>
    <row r="30" spans="2:6" ht="14" thickBot="1" x14ac:dyDescent="0.2">
      <c r="B30" s="175"/>
      <c r="C30" s="176"/>
      <c r="D30" s="176"/>
      <c r="E30" s="176"/>
      <c r="F30" s="177"/>
    </row>
    <row r="31" spans="2:6" ht="14" thickTop="1" x14ac:dyDescent="0.15"/>
  </sheetData>
  <sheetProtection selectLockedCells="1" selectUnlockedCells="1"/>
  <mergeCells count="4">
    <mergeCell ref="B27:F28"/>
    <mergeCell ref="B2:G4"/>
    <mergeCell ref="B18:F19"/>
    <mergeCell ref="B7:F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73" r:id="rId3" name="lstTabs">
              <controlPr defaultSize="0" autoLine="0" autoPict="0" macro="[0]!lstTabs_Change">
                <anchor>
                  <from>
                    <xdr:col>2</xdr:col>
                    <xdr:colOff>50800</xdr:colOff>
                    <xdr:row>9</xdr:row>
                    <xdr:rowOff>12700</xdr:rowOff>
                  </from>
                  <to>
                    <xdr:col>5</xdr:col>
                    <xdr:colOff>254000</xdr:colOff>
                    <xdr:row>16</xdr:row>
                    <xdr:rowOff>25400</xdr:rowOff>
                  </to>
                </anchor>
              </controlPr>
            </control>
          </mc:Choice>
          <mc:Fallback/>
        </mc:AlternateContent>
        <mc:AlternateContent xmlns:mc="http://schemas.openxmlformats.org/markup-compatibility/2006">
          <mc:Choice Requires="x14">
            <control shapeId="11274" r:id="rId4" name="cmdCreateExcel">
              <controlPr defaultSize="0" print="0" autoFill="0" autoPict="0" macro="[0]!Sheet3.cmdCreateExcel_Click">
                <anchor>
                  <from>
                    <xdr:col>2</xdr:col>
                    <xdr:colOff>63500</xdr:colOff>
                    <xdr:row>20</xdr:row>
                    <xdr:rowOff>127000</xdr:rowOff>
                  </from>
                  <to>
                    <xdr:col>5</xdr:col>
                    <xdr:colOff>317500</xdr:colOff>
                    <xdr:row>24</xdr:row>
                    <xdr:rowOff>101600</xdr:rowOff>
                  </to>
                </anchor>
              </controlPr>
            </control>
          </mc:Choice>
          <mc:Fallback/>
        </mc:AlternateContent>
      </controls>
    </mc:Choice>
    <mc:Fallback/>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topLeftCell="A4" workbookViewId="0">
      <selection activeCell="L14" sqref="L14"/>
    </sheetView>
  </sheetViews>
  <sheetFormatPr baseColWidth="10" defaultColWidth="9" defaultRowHeight="13" x14ac:dyDescent="0.15"/>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O18"/>
  <sheetViews>
    <sheetView workbookViewId="0">
      <selection sqref="A1:D1"/>
    </sheetView>
  </sheetViews>
  <sheetFormatPr baseColWidth="10" defaultColWidth="5.1640625" defaultRowHeight="13" x14ac:dyDescent="0.15"/>
  <cols>
    <col min="1" max="1" width="5.1640625" style="12" customWidth="1"/>
    <col min="2" max="2" width="5.83203125" style="25" customWidth="1"/>
    <col min="3" max="3" width="3.83203125" style="12" customWidth="1"/>
    <col min="4" max="4" width="26.83203125" style="12" customWidth="1"/>
    <col min="5" max="5" width="10.1640625" style="12" customWidth="1"/>
    <col min="6" max="6" width="6.5" style="12" customWidth="1"/>
    <col min="7" max="7" width="8.1640625" style="12" customWidth="1"/>
    <col min="8" max="8" width="8.1640625" style="12" hidden="1" customWidth="1"/>
    <col min="9" max="12" width="11" style="23" customWidth="1"/>
    <col min="13" max="13" width="1.5" style="12" customWidth="1"/>
    <col min="14" max="14" width="4.5" style="12" customWidth="1"/>
    <col min="15" max="15" width="4.1640625" style="12" customWidth="1"/>
    <col min="16" max="16" width="5.1640625" style="12" customWidth="1"/>
    <col min="17" max="17" width="5.83203125" style="12" customWidth="1"/>
    <col min="18" max="18" width="3.83203125" style="12" customWidth="1"/>
    <col min="19" max="19" width="26.83203125" style="12" customWidth="1"/>
    <col min="20" max="20" width="10.1640625" style="12" customWidth="1"/>
    <col min="21" max="21" width="6.5" style="12" customWidth="1"/>
    <col min="22" max="22" width="8.1640625" style="12" customWidth="1"/>
    <col min="23" max="24" width="11" style="12" customWidth="1"/>
    <col min="25" max="25" width="1.5" style="12" customWidth="1"/>
    <col min="26" max="26" width="4.5" style="12" customWidth="1"/>
    <col min="27" max="27" width="4.1640625" style="12" customWidth="1"/>
    <col min="28" max="28" width="5.1640625" style="12" customWidth="1"/>
    <col min="29" max="29" width="5.83203125" style="12" customWidth="1"/>
    <col min="30" max="30" width="3.83203125" style="12" customWidth="1"/>
    <col min="31" max="31" width="26.83203125" style="12" customWidth="1"/>
    <col min="32" max="32" width="10.1640625" style="12" customWidth="1"/>
    <col min="33" max="33" width="6.5" style="12" customWidth="1"/>
    <col min="34" max="34" width="8.1640625" style="12" customWidth="1"/>
    <col min="35" max="36" width="11" style="12" customWidth="1"/>
    <col min="37" max="37" width="1.5" style="12" customWidth="1"/>
    <col min="38" max="38" width="4.5" style="12" customWidth="1"/>
    <col min="39" max="39" width="4.1640625" style="12" customWidth="1"/>
    <col min="40" max="40" width="5.1640625" style="12" customWidth="1"/>
    <col min="41" max="41" width="5.83203125" style="12" customWidth="1"/>
    <col min="42" max="42" width="3.83203125" style="12" customWidth="1"/>
    <col min="43" max="43" width="26.83203125" style="12" customWidth="1"/>
    <col min="44" max="44" width="10.1640625" style="12" customWidth="1"/>
    <col min="45" max="45" width="6.5" style="12" customWidth="1"/>
    <col min="46" max="46" width="8.1640625" style="12" customWidth="1"/>
    <col min="47" max="48" width="11" style="12" customWidth="1"/>
    <col min="49" max="49" width="1.5" style="12" customWidth="1"/>
    <col min="50" max="50" width="4.5" style="12" customWidth="1"/>
    <col min="51" max="51" width="4.1640625" style="12" customWidth="1"/>
    <col min="52" max="52" width="5.1640625" style="12" customWidth="1"/>
    <col min="53" max="53" width="5.83203125" style="12" customWidth="1"/>
    <col min="54" max="54" width="3.83203125" style="12" customWidth="1"/>
    <col min="55" max="55" width="26.83203125" style="12" customWidth="1"/>
    <col min="56" max="56" width="10.1640625" style="12" customWidth="1"/>
    <col min="57" max="57" width="6.5" style="12" customWidth="1"/>
    <col min="58" max="58" width="8.1640625" style="12" customWidth="1"/>
    <col min="59" max="60" width="11" style="12" customWidth="1"/>
    <col min="61" max="61" width="1.5" style="12" customWidth="1"/>
    <col min="62" max="62" width="4.5" style="12" customWidth="1"/>
    <col min="63" max="63" width="4.1640625" style="12" customWidth="1"/>
    <col min="64" max="64" width="5.1640625" style="12" customWidth="1"/>
    <col min="65" max="65" width="5.83203125" style="12" customWidth="1"/>
    <col min="66" max="66" width="3.83203125" style="12" customWidth="1"/>
    <col min="67" max="67" width="26.83203125" style="12" customWidth="1"/>
    <col min="68" max="68" width="10.1640625" style="12" customWidth="1"/>
    <col min="69" max="69" width="6.5" style="12" customWidth="1"/>
    <col min="70" max="70" width="8.1640625" style="12" customWidth="1"/>
    <col min="71" max="72" width="11" style="12" customWidth="1"/>
    <col min="73" max="73" width="1.5" style="12" customWidth="1"/>
    <col min="74" max="74" width="4.5" style="12" customWidth="1"/>
    <col min="75" max="75" width="4.1640625" style="12" customWidth="1"/>
    <col min="76" max="76" width="5.1640625" style="12" customWidth="1"/>
    <col min="77" max="77" width="5.83203125" style="12" customWidth="1"/>
    <col min="78" max="78" width="3.83203125" style="12" customWidth="1"/>
    <col min="79" max="79" width="26.83203125" style="12" customWidth="1"/>
    <col min="80" max="80" width="10.1640625" style="12" customWidth="1"/>
    <col min="81" max="81" width="6.5" style="12" customWidth="1"/>
    <col min="82" max="82" width="8.1640625" style="12" customWidth="1"/>
    <col min="83" max="84" width="11" style="12" customWidth="1"/>
    <col min="85" max="85" width="1.5" style="12" customWidth="1"/>
    <col min="86" max="86" width="4.5" style="12" customWidth="1"/>
    <col min="87" max="87" width="4.1640625" style="12" customWidth="1"/>
    <col min="88" max="88" width="5.1640625" style="12" customWidth="1"/>
    <col min="89" max="89" width="5.83203125" style="12" customWidth="1"/>
    <col min="90" max="90" width="3.83203125" style="12" customWidth="1"/>
    <col min="91" max="91" width="26.83203125" style="12" customWidth="1"/>
    <col min="92" max="92" width="10.1640625" style="12" customWidth="1"/>
    <col min="93" max="93" width="6.5" style="12" customWidth="1"/>
    <col min="94" max="94" width="8.1640625" style="12" customWidth="1"/>
    <col min="95" max="96" width="11" style="12" customWidth="1"/>
    <col min="97" max="97" width="1.5" style="12" customWidth="1"/>
    <col min="98" max="98" width="4.5" style="12" customWidth="1"/>
    <col min="99" max="99" width="4.1640625" style="12" customWidth="1"/>
    <col min="100" max="100" width="5.1640625" style="12" customWidth="1"/>
    <col min="101" max="101" width="5.83203125" style="12" customWidth="1"/>
    <col min="102" max="102" width="3.83203125" style="12" customWidth="1"/>
    <col min="103" max="103" width="26.83203125" style="12" customWidth="1"/>
    <col min="104" max="104" width="10.1640625" style="12" customWidth="1"/>
    <col min="105" max="105" width="6.5" style="12" customWidth="1"/>
    <col min="106" max="106" width="8.1640625" style="12" customWidth="1"/>
    <col min="107" max="108" width="11" style="12" customWidth="1"/>
    <col min="109" max="109" width="1.5" style="12" customWidth="1"/>
    <col min="110" max="110" width="4.5" style="12" customWidth="1"/>
    <col min="111" max="111" width="4.1640625" style="12" customWidth="1"/>
    <col min="112" max="112" width="5.1640625" style="12" customWidth="1"/>
    <col min="113" max="113" width="5.83203125" style="12" customWidth="1"/>
    <col min="114" max="114" width="3.83203125" style="12" customWidth="1"/>
    <col min="115" max="115" width="26.83203125" style="12" customWidth="1"/>
    <col min="116" max="116" width="10.1640625" style="12" customWidth="1"/>
    <col min="117" max="117" width="6.5" style="12" customWidth="1"/>
    <col min="118" max="118" width="8.1640625" style="12" customWidth="1"/>
    <col min="119" max="120" width="11" style="12" customWidth="1"/>
    <col min="121" max="121" width="1.5" style="12" customWidth="1"/>
    <col min="122" max="122" width="4.5" style="12" customWidth="1"/>
    <col min="123" max="123" width="4.1640625" style="12" customWidth="1"/>
    <col min="124" max="124" width="5.1640625" style="12" customWidth="1"/>
    <col min="125" max="125" width="5.83203125" style="12" customWidth="1"/>
    <col min="126" max="126" width="3.83203125" style="12" customWidth="1"/>
    <col min="127" max="127" width="26.83203125" style="12" customWidth="1"/>
    <col min="128" max="128" width="10.1640625" style="12" customWidth="1"/>
    <col min="129" max="129" width="6.5" style="12" customWidth="1"/>
    <col min="130" max="130" width="8.1640625" style="12" customWidth="1"/>
    <col min="131" max="132" width="11" style="12" customWidth="1"/>
    <col min="133" max="133" width="1.5" style="12" customWidth="1"/>
    <col min="134" max="134" width="4.5" style="12" customWidth="1"/>
    <col min="135" max="135" width="4.1640625" style="12" customWidth="1"/>
    <col min="136" max="136" width="5.1640625" style="12" customWidth="1"/>
    <col min="137" max="137" width="5.83203125" style="12" customWidth="1"/>
    <col min="138" max="138" width="3.83203125" style="12" customWidth="1"/>
    <col min="139" max="139" width="26.83203125" style="12" customWidth="1"/>
    <col min="140" max="140" width="10.1640625" style="12" customWidth="1"/>
    <col min="141" max="141" width="6.5" style="12" customWidth="1"/>
    <col min="142" max="142" width="8.1640625" style="12" customWidth="1"/>
    <col min="143" max="144" width="11" style="12" customWidth="1"/>
    <col min="145" max="145" width="1.5" style="12" customWidth="1"/>
    <col min="146" max="146" width="4.5" style="12" customWidth="1"/>
    <col min="147" max="147" width="4.1640625" style="12" customWidth="1"/>
    <col min="148" max="148" width="5.1640625" style="12" customWidth="1"/>
    <col min="149" max="149" width="5.83203125" style="12" customWidth="1"/>
    <col min="150" max="150" width="3.83203125" style="12" customWidth="1"/>
    <col min="151" max="151" width="26.83203125" style="12" customWidth="1"/>
    <col min="152" max="152" width="10.1640625" style="12" customWidth="1"/>
    <col min="153" max="153" width="6.5" style="12" customWidth="1"/>
    <col min="154" max="154" width="8.1640625" style="12" customWidth="1"/>
    <col min="155" max="156" width="11" style="12" customWidth="1"/>
    <col min="157" max="157" width="1.5" style="12" customWidth="1"/>
    <col min="158" max="158" width="4.5" style="12" customWidth="1"/>
    <col min="159" max="159" width="4.1640625" style="12" customWidth="1"/>
    <col min="160" max="160" width="5.1640625" style="12" customWidth="1"/>
    <col min="161" max="161" width="5.83203125" style="12" customWidth="1"/>
    <col min="162" max="162" width="3.83203125" style="12" customWidth="1"/>
    <col min="163" max="163" width="26.83203125" style="12" customWidth="1"/>
    <col min="164" max="164" width="10.1640625" style="12" customWidth="1"/>
    <col min="165" max="165" width="6.5" style="12" customWidth="1"/>
    <col min="166" max="166" width="8.1640625" style="12" customWidth="1"/>
    <col min="167" max="168" width="11" style="12" customWidth="1"/>
    <col min="169" max="169" width="1.5" style="12" customWidth="1"/>
    <col min="170" max="170" width="4.5" style="12" customWidth="1"/>
    <col min="171" max="171" width="4.1640625" style="12" customWidth="1"/>
    <col min="172" max="172" width="5.1640625" style="12" customWidth="1"/>
    <col min="173" max="173" width="5.83203125" style="12" customWidth="1"/>
    <col min="174" max="174" width="3.83203125" style="12" customWidth="1"/>
    <col min="175" max="175" width="26.83203125" style="12" customWidth="1"/>
    <col min="176" max="176" width="10.1640625" style="12" customWidth="1"/>
    <col min="177" max="177" width="6.5" style="12" customWidth="1"/>
    <col min="178" max="178" width="8.1640625" style="12" customWidth="1"/>
    <col min="179" max="180" width="11" style="12" customWidth="1"/>
    <col min="181" max="181" width="1.5" style="12" customWidth="1"/>
    <col min="182" max="182" width="4.5" style="12" customWidth="1"/>
    <col min="183" max="183" width="4.1640625" style="12" customWidth="1"/>
    <col min="184" max="184" width="5.1640625" style="12" customWidth="1"/>
    <col min="185" max="185" width="5.83203125" style="12" customWidth="1"/>
    <col min="186" max="186" width="3.83203125" style="12" customWidth="1"/>
    <col min="187" max="187" width="26.83203125" style="12" customWidth="1"/>
    <col min="188" max="188" width="10.1640625" style="12" customWidth="1"/>
    <col min="189" max="189" width="6.5" style="12" customWidth="1"/>
    <col min="190" max="190" width="8.1640625" style="12" customWidth="1"/>
    <col min="191" max="192" width="11" style="12" customWidth="1"/>
    <col min="193" max="193" width="1.5" style="12" customWidth="1"/>
    <col min="194" max="194" width="4.5" style="12" customWidth="1"/>
    <col min="195" max="195" width="4.1640625" style="12" customWidth="1"/>
    <col min="196" max="196" width="5.1640625" style="12" customWidth="1"/>
    <col min="197" max="197" width="5.83203125" style="12" customWidth="1"/>
    <col min="198" max="198" width="3.83203125" style="12" customWidth="1"/>
    <col min="199" max="199" width="26.83203125" style="12" customWidth="1"/>
    <col min="200" max="200" width="10.1640625" style="12" customWidth="1"/>
    <col min="201" max="201" width="6.5" style="12" customWidth="1"/>
    <col min="202" max="202" width="8.1640625" style="12" customWidth="1"/>
    <col min="203" max="204" width="11" style="12" customWidth="1"/>
    <col min="205" max="205" width="1.5" style="12" customWidth="1"/>
    <col min="206" max="206" width="4.5" style="12" customWidth="1"/>
    <col min="207" max="207" width="4.1640625" style="12" customWidth="1"/>
    <col min="208" max="208" width="5.1640625" style="12" customWidth="1"/>
    <col min="209" max="209" width="5.83203125" style="12" customWidth="1"/>
    <col min="210" max="210" width="3.83203125" style="12" customWidth="1"/>
    <col min="211" max="211" width="26.83203125" style="12" customWidth="1"/>
    <col min="212" max="212" width="10.1640625" style="12" customWidth="1"/>
    <col min="213" max="213" width="6.5" style="12" customWidth="1"/>
    <col min="214" max="214" width="8.1640625" style="12" customWidth="1"/>
    <col min="215" max="216" width="11" style="12" customWidth="1"/>
    <col min="217" max="217" width="1.5" style="12" customWidth="1"/>
    <col min="218" max="218" width="4.5" style="12" customWidth="1"/>
    <col min="219" max="219" width="4.1640625" style="12" customWidth="1"/>
    <col min="220" max="220" width="5.1640625" style="12" customWidth="1"/>
    <col min="221" max="221" width="5.83203125" style="12" customWidth="1"/>
    <col min="222" max="222" width="3.83203125" style="12" customWidth="1"/>
    <col min="223" max="223" width="26.83203125" style="12" customWidth="1"/>
    <col min="224" max="224" width="10.1640625" style="12" customWidth="1"/>
    <col min="225" max="225" width="6.5" style="12" customWidth="1"/>
    <col min="226" max="226" width="8.1640625" style="12" customWidth="1"/>
    <col min="227" max="228" width="11" style="12" customWidth="1"/>
    <col min="229" max="229" width="1.5" style="12" customWidth="1"/>
    <col min="230" max="230" width="4.5" style="12" customWidth="1"/>
    <col min="231" max="231" width="4.1640625" style="12" customWidth="1"/>
    <col min="232" max="232" width="5.1640625" style="12" customWidth="1"/>
    <col min="233" max="233" width="5.83203125" style="12" customWidth="1"/>
    <col min="234" max="234" width="3.83203125" style="12" customWidth="1"/>
    <col min="235" max="235" width="26.83203125" style="12" customWidth="1"/>
    <col min="236" max="236" width="10.1640625" style="12" customWidth="1"/>
    <col min="237" max="237" width="6.5" style="12" customWidth="1"/>
    <col min="238" max="238" width="8.1640625" style="12" customWidth="1"/>
    <col min="239" max="240" width="11" style="12" customWidth="1"/>
    <col min="241" max="241" width="1.5" style="12" customWidth="1"/>
    <col min="242" max="242" width="4.5" style="12" customWidth="1"/>
    <col min="243" max="243" width="4.1640625" style="12" customWidth="1"/>
    <col min="244" max="244" width="5.1640625" style="12" customWidth="1"/>
    <col min="245" max="245" width="5.83203125" style="12" customWidth="1"/>
    <col min="246" max="246" width="3.83203125" style="12" customWidth="1"/>
    <col min="247" max="247" width="26.83203125" style="12" customWidth="1"/>
    <col min="248" max="248" width="10.1640625" style="12" customWidth="1"/>
    <col min="249" max="249" width="6.5" style="12" customWidth="1"/>
    <col min="250" max="250" width="8.1640625" style="12" customWidth="1"/>
    <col min="251" max="252" width="11" style="12" customWidth="1"/>
    <col min="253" max="253" width="1.5" style="12" customWidth="1"/>
    <col min="254" max="254" width="4.5" style="12" customWidth="1"/>
    <col min="255" max="255" width="4.1640625" style="12" customWidth="1"/>
    <col min="256" max="16384" width="5.1640625" style="12"/>
  </cols>
  <sheetData>
    <row r="1" spans="1:15" x14ac:dyDescent="0.15">
      <c r="A1" s="185" t="s">
        <v>212</v>
      </c>
      <c r="B1" s="185"/>
      <c r="C1" s="185"/>
      <c r="D1" s="185"/>
    </row>
    <row r="2" spans="1:15" x14ac:dyDescent="0.15">
      <c r="A2" s="9"/>
    </row>
    <row r="3" spans="1:15" s="3" customFormat="1" x14ac:dyDescent="0.15">
      <c r="E3" s="26" t="s">
        <v>9</v>
      </c>
      <c r="F3" s="20" t="s">
        <v>7</v>
      </c>
      <c r="G3" s="21"/>
      <c r="H3" s="21"/>
      <c r="I3" s="4" t="s">
        <v>100</v>
      </c>
      <c r="J3" s="4"/>
      <c r="K3" s="4"/>
      <c r="L3" s="5" t="s">
        <v>59</v>
      </c>
      <c r="M3" s="5"/>
      <c r="N3" s="24" t="s">
        <v>111</v>
      </c>
      <c r="O3" s="24" t="s">
        <v>87</v>
      </c>
    </row>
    <row r="4" spans="1:15" s="3" customFormat="1" x14ac:dyDescent="0.15">
      <c r="A4" s="6" t="s">
        <v>110</v>
      </c>
      <c r="B4" s="36">
        <f>FacInflationPct</f>
        <v>0</v>
      </c>
      <c r="D4" s="88"/>
      <c r="E4" s="87">
        <v>0</v>
      </c>
      <c r="F4" s="31">
        <v>0</v>
      </c>
      <c r="G4" s="22" t="s">
        <v>61</v>
      </c>
      <c r="H4" s="7">
        <f>$E4/9*$F4</f>
        <v>0</v>
      </c>
      <c r="I4" s="88">
        <f>H4*(1+$B4)</f>
        <v>0</v>
      </c>
      <c r="J4" s="88"/>
      <c r="K4" s="88"/>
      <c r="L4" s="7">
        <f>SUM(I4)</f>
        <v>0</v>
      </c>
      <c r="M4" s="7"/>
      <c r="N4" s="27" t="s">
        <v>102</v>
      </c>
      <c r="O4" s="27" t="s">
        <v>89</v>
      </c>
    </row>
    <row r="5" spans="1:15" s="3" customFormat="1" x14ac:dyDescent="0.15">
      <c r="A5" s="6" t="s">
        <v>110</v>
      </c>
      <c r="B5" s="36">
        <f>FacInflationPct</f>
        <v>0</v>
      </c>
      <c r="D5" s="32"/>
      <c r="E5" s="151"/>
      <c r="F5" s="31">
        <v>0</v>
      </c>
      <c r="G5" s="22" t="s">
        <v>62</v>
      </c>
      <c r="H5" s="7">
        <f>$E4/9*$F5</f>
        <v>0</v>
      </c>
      <c r="I5" s="88">
        <f>H5*(1+$B5)</f>
        <v>0</v>
      </c>
      <c r="J5" s="88"/>
      <c r="K5" s="88"/>
      <c r="L5" s="8">
        <f>SUM(I5)</f>
        <v>0</v>
      </c>
      <c r="M5" s="8"/>
      <c r="N5" s="27" t="s">
        <v>102</v>
      </c>
      <c r="O5" s="27" t="s">
        <v>88</v>
      </c>
    </row>
    <row r="6" spans="1:15" x14ac:dyDescent="0.15">
      <c r="E6" s="25"/>
      <c r="I6" s="12"/>
      <c r="J6" s="12"/>
      <c r="K6" s="12"/>
      <c r="L6" s="12"/>
      <c r="N6" s="23"/>
      <c r="O6" s="23"/>
    </row>
    <row r="7" spans="1:15" x14ac:dyDescent="0.15">
      <c r="E7" s="25"/>
      <c r="I7" s="12"/>
      <c r="J7" s="12"/>
      <c r="K7" s="12"/>
      <c r="L7" s="12"/>
      <c r="N7" s="23"/>
      <c r="O7" s="23"/>
    </row>
    <row r="8" spans="1:15" x14ac:dyDescent="0.15">
      <c r="A8" s="6" t="s">
        <v>110</v>
      </c>
      <c r="B8" s="36">
        <f>FacInflationPct</f>
        <v>0</v>
      </c>
      <c r="D8" s="105"/>
      <c r="E8" s="87">
        <v>0</v>
      </c>
      <c r="F8" s="31">
        <v>0</v>
      </c>
      <c r="G8" s="22" t="s">
        <v>10</v>
      </c>
      <c r="H8" s="7">
        <f>$E8/12*$F8</f>
        <v>0</v>
      </c>
      <c r="I8" s="88">
        <f>H8*(1+$B8)</f>
        <v>0</v>
      </c>
      <c r="J8" s="88"/>
      <c r="K8" s="88"/>
      <c r="L8" s="8">
        <f>SUM(I8)</f>
        <v>0</v>
      </c>
      <c r="M8" s="8"/>
      <c r="N8" s="27" t="s">
        <v>102</v>
      </c>
      <c r="O8" s="27" t="s">
        <v>89</v>
      </c>
    </row>
    <row r="10" spans="1:15" x14ac:dyDescent="0.15">
      <c r="I10" s="62">
        <v>0</v>
      </c>
      <c r="J10" s="62"/>
      <c r="K10" s="62"/>
    </row>
    <row r="11" spans="1:15" x14ac:dyDescent="0.15">
      <c r="C11" s="12" t="s">
        <v>79</v>
      </c>
      <c r="I11" s="88">
        <v>0</v>
      </c>
      <c r="J11" s="88">
        <v>0</v>
      </c>
      <c r="K11" s="88">
        <v>0</v>
      </c>
      <c r="L11" s="38">
        <f>SUM( I11:K11)</f>
        <v>0</v>
      </c>
    </row>
    <row r="12" spans="1:15" x14ac:dyDescent="0.15">
      <c r="C12" s="12" t="s">
        <v>80</v>
      </c>
      <c r="I12" s="88">
        <v>0</v>
      </c>
      <c r="J12" s="88">
        <v>0</v>
      </c>
      <c r="K12" s="88">
        <v>0</v>
      </c>
      <c r="L12" s="38">
        <f>SUM( I12:K12)</f>
        <v>0</v>
      </c>
    </row>
    <row r="13" spans="1:15" ht="29" customHeight="1" x14ac:dyDescent="0.15">
      <c r="A13" s="85"/>
      <c r="B13" s="84"/>
      <c r="C13" s="83"/>
      <c r="D13" s="83" t="s">
        <v>81</v>
      </c>
      <c r="E13" s="83"/>
      <c r="F13" s="83"/>
      <c r="G13" s="83"/>
      <c r="H13" s="83"/>
      <c r="I13" s="46">
        <f>SUM(I10:I12)</f>
        <v>0</v>
      </c>
      <c r="J13" s="46">
        <f>SUM(J10:J12)</f>
        <v>0</v>
      </c>
      <c r="K13" s="46">
        <f>SUM(K10:K12)</f>
        <v>0</v>
      </c>
      <c r="L13" s="46">
        <f>SUM( I13:K13)</f>
        <v>0</v>
      </c>
      <c r="M13" s="83"/>
      <c r="N13" s="83"/>
      <c r="O13" s="83"/>
    </row>
    <row r="18" spans="7:7" x14ac:dyDescent="0.15">
      <c r="G18" s="86"/>
    </row>
  </sheetData>
  <sheetProtection password="E81C" sheet="1" objects="1" scenarios="1" selectLockedCells="1"/>
  <phoneticPr fontId="7"/>
  <dataValidations count="3">
    <dataValidation type="list" allowBlank="1" showInputMessage="1" showErrorMessage="1" sqref="N8 N4:N5">
      <formula1>InBaseList</formula1>
    </dataValidation>
    <dataValidation type="list" allowBlank="1" showInputMessage="1" showErrorMessage="1" sqref="O8 O4:O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topLeftCell="A10" workbookViewId="0">
      <selection activeCell="C18" sqref="C18"/>
    </sheetView>
  </sheetViews>
  <sheetFormatPr baseColWidth="10" defaultColWidth="11" defaultRowHeight="13" x14ac:dyDescent="0.15"/>
  <cols>
    <col min="1" max="2" width="11" style="14" customWidth="1"/>
    <col min="3" max="8" width="11" style="15" customWidth="1"/>
    <col min="9" max="16384" width="11" style="1"/>
  </cols>
  <sheetData>
    <row r="1" spans="1:8" x14ac:dyDescent="0.15">
      <c r="A1" s="185" t="s">
        <v>212</v>
      </c>
      <c r="B1" s="185"/>
      <c r="C1" s="185"/>
      <c r="D1" s="185"/>
    </row>
    <row r="2" spans="1:8" x14ac:dyDescent="0.15">
      <c r="A2" s="18" t="s">
        <v>21</v>
      </c>
      <c r="B2" s="18"/>
      <c r="C2" s="19"/>
      <c r="D2" s="19"/>
      <c r="E2" s="19"/>
      <c r="F2" s="19"/>
      <c r="G2" s="19"/>
      <c r="H2" s="19"/>
    </row>
    <row r="3" spans="1:8" x14ac:dyDescent="0.15">
      <c r="A3" s="28" t="s">
        <v>22</v>
      </c>
      <c r="B3" s="28" t="s">
        <v>23</v>
      </c>
      <c r="C3" s="29" t="s">
        <v>24</v>
      </c>
      <c r="D3" s="29" t="s">
        <v>25</v>
      </c>
      <c r="E3" s="29" t="s">
        <v>26</v>
      </c>
      <c r="F3" s="29" t="s">
        <v>27</v>
      </c>
      <c r="G3" s="29" t="s">
        <v>30</v>
      </c>
      <c r="H3" s="29" t="s">
        <v>29</v>
      </c>
    </row>
    <row r="4" spans="1:8" x14ac:dyDescent="0.15">
      <c r="A4" s="14">
        <v>38169</v>
      </c>
      <c r="B4" s="14">
        <v>38533</v>
      </c>
      <c r="C4" s="15">
        <v>0.46</v>
      </c>
      <c r="D4" s="15">
        <v>0.26</v>
      </c>
      <c r="E4" s="104">
        <v>0.58499999999999996</v>
      </c>
      <c r="F4" s="15">
        <v>0.26</v>
      </c>
      <c r="G4" s="15">
        <v>0.31</v>
      </c>
      <c r="H4" s="15">
        <v>0.26</v>
      </c>
    </row>
    <row r="5" spans="1:8" x14ac:dyDescent="0.15">
      <c r="A5" s="14">
        <v>38534</v>
      </c>
      <c r="B5" s="14">
        <v>38898</v>
      </c>
      <c r="C5" s="15">
        <v>0.45</v>
      </c>
      <c r="D5" s="15">
        <v>0.26</v>
      </c>
      <c r="E5" s="15">
        <v>0.52300000000000002</v>
      </c>
      <c r="F5" s="15">
        <v>0.26</v>
      </c>
      <c r="G5" s="15">
        <v>0.34200000000000003</v>
      </c>
      <c r="H5" s="15">
        <v>0.26</v>
      </c>
    </row>
    <row r="6" spans="1:8" x14ac:dyDescent="0.15">
      <c r="A6" s="14">
        <v>38899</v>
      </c>
      <c r="B6" s="14">
        <v>39263</v>
      </c>
      <c r="C6" s="15">
        <v>0.45</v>
      </c>
      <c r="D6" s="15">
        <v>0.26</v>
      </c>
      <c r="E6" s="15">
        <v>0.52300000000000002</v>
      </c>
      <c r="F6" s="15">
        <v>0.26</v>
      </c>
      <c r="G6" s="15">
        <v>0.34200000000000003</v>
      </c>
      <c r="H6" s="15">
        <v>0.26</v>
      </c>
    </row>
    <row r="7" spans="1:8" x14ac:dyDescent="0.15">
      <c r="A7" s="14">
        <v>39264</v>
      </c>
      <c r="B7" s="14">
        <v>39629</v>
      </c>
      <c r="C7" s="15">
        <v>0.45</v>
      </c>
      <c r="D7" s="15">
        <v>0.26</v>
      </c>
      <c r="E7" s="15">
        <v>0.52300000000000002</v>
      </c>
      <c r="F7" s="15">
        <v>0.26</v>
      </c>
      <c r="G7" s="15">
        <v>0.34200000000000003</v>
      </c>
      <c r="H7" s="15">
        <v>0.26</v>
      </c>
    </row>
    <row r="8" spans="1:8" x14ac:dyDescent="0.15">
      <c r="A8" s="14">
        <v>39630</v>
      </c>
      <c r="B8" s="14">
        <v>39994</v>
      </c>
      <c r="C8" s="15">
        <v>0.45</v>
      </c>
      <c r="D8" s="15">
        <v>0.26</v>
      </c>
      <c r="E8" s="15">
        <v>0.52300000000000002</v>
      </c>
      <c r="F8" s="15">
        <v>0.26</v>
      </c>
      <c r="G8" s="15">
        <v>0.34200000000000003</v>
      </c>
      <c r="H8" s="15">
        <v>0.26</v>
      </c>
    </row>
    <row r="9" spans="1:8" x14ac:dyDescent="0.15">
      <c r="A9" s="14">
        <v>39995</v>
      </c>
      <c r="B9" s="14">
        <v>40359</v>
      </c>
      <c r="C9" s="15">
        <v>0.45</v>
      </c>
      <c r="D9" s="15">
        <v>0.26</v>
      </c>
      <c r="E9" s="15">
        <v>0.53500000000000003</v>
      </c>
      <c r="F9" s="15">
        <v>0.26</v>
      </c>
      <c r="G9" s="15">
        <v>0.38200000000000001</v>
      </c>
      <c r="H9" s="15">
        <v>0.26</v>
      </c>
    </row>
    <row r="10" spans="1:8" x14ac:dyDescent="0.15">
      <c r="A10" s="14">
        <v>40360</v>
      </c>
      <c r="B10" s="14">
        <v>40724</v>
      </c>
      <c r="C10" s="15">
        <v>0.46</v>
      </c>
      <c r="D10" s="15">
        <v>0.26</v>
      </c>
      <c r="E10" s="15">
        <v>0.53500000000000003</v>
      </c>
      <c r="F10" s="15">
        <v>0.26</v>
      </c>
      <c r="G10" s="15">
        <v>0.38200000000000001</v>
      </c>
      <c r="H10" s="15">
        <v>0.26</v>
      </c>
    </row>
    <row r="11" spans="1:8" x14ac:dyDescent="0.15">
      <c r="A11" s="14">
        <v>40725</v>
      </c>
      <c r="B11" s="14">
        <v>41090</v>
      </c>
      <c r="C11" s="15">
        <v>0.46500000000000002</v>
      </c>
      <c r="D11" s="15">
        <v>0.26</v>
      </c>
      <c r="E11" s="15">
        <v>0.53500000000000003</v>
      </c>
      <c r="F11" s="15">
        <v>0.26</v>
      </c>
      <c r="G11" s="15">
        <v>0.38200000000000001</v>
      </c>
      <c r="H11" s="15">
        <v>0.26</v>
      </c>
    </row>
    <row r="12" spans="1:8" x14ac:dyDescent="0.15">
      <c r="A12" s="14">
        <v>41091</v>
      </c>
      <c r="B12" s="14">
        <v>41455</v>
      </c>
      <c r="C12" s="15">
        <v>0.47</v>
      </c>
      <c r="D12" s="15">
        <v>0.26</v>
      </c>
      <c r="E12" s="15">
        <v>0.53500000000000003</v>
      </c>
      <c r="F12" s="15">
        <v>0.26</v>
      </c>
      <c r="G12" s="15">
        <v>0.38200000000000001</v>
      </c>
      <c r="H12" s="15">
        <v>0.26</v>
      </c>
    </row>
    <row r="13" spans="1:8" x14ac:dyDescent="0.15">
      <c r="A13" s="14">
        <v>41456</v>
      </c>
      <c r="B13" s="14">
        <v>41820</v>
      </c>
      <c r="C13" s="15">
        <v>0.47499999999999998</v>
      </c>
      <c r="D13" s="15">
        <v>0.26</v>
      </c>
      <c r="E13" s="15">
        <v>0.53500000000000003</v>
      </c>
      <c r="F13" s="15">
        <v>0.26</v>
      </c>
      <c r="G13" s="15">
        <v>0.38200000000000001</v>
      </c>
      <c r="H13" s="15">
        <v>0.26</v>
      </c>
    </row>
    <row r="14" spans="1:8" x14ac:dyDescent="0.15">
      <c r="A14" s="14">
        <v>41821</v>
      </c>
      <c r="B14" s="14">
        <v>42185</v>
      </c>
      <c r="C14" s="15">
        <v>0.47499999999999998</v>
      </c>
      <c r="D14" s="15">
        <v>0.26</v>
      </c>
      <c r="E14" s="15">
        <v>0.53500000000000003</v>
      </c>
      <c r="F14" s="15">
        <v>0.26</v>
      </c>
      <c r="G14" s="15">
        <v>0.38200000000000001</v>
      </c>
      <c r="H14" s="15">
        <v>0.26</v>
      </c>
    </row>
    <row r="15" spans="1:8" x14ac:dyDescent="0.15">
      <c r="A15" s="14">
        <v>42186</v>
      </c>
      <c r="B15" s="14">
        <v>42551</v>
      </c>
      <c r="C15" s="15">
        <v>0.47499999999999998</v>
      </c>
      <c r="D15" s="15">
        <v>0.26</v>
      </c>
      <c r="E15" s="15">
        <v>0.57499999999999996</v>
      </c>
      <c r="F15" s="15">
        <v>0.26</v>
      </c>
      <c r="G15" s="15">
        <v>0.35199999999999998</v>
      </c>
      <c r="H15" s="15">
        <v>0.26</v>
      </c>
    </row>
    <row r="16" spans="1:8" x14ac:dyDescent="0.15">
      <c r="A16" s="14">
        <v>42552</v>
      </c>
      <c r="B16" s="14">
        <v>42916</v>
      </c>
      <c r="C16" s="15">
        <v>0.495</v>
      </c>
      <c r="D16" s="15">
        <v>0.26</v>
      </c>
      <c r="E16" s="15">
        <v>0.57499999999999996</v>
      </c>
      <c r="F16" s="15">
        <v>0.26</v>
      </c>
      <c r="G16" s="15">
        <v>0.35199999999999998</v>
      </c>
      <c r="H16" s="15">
        <v>0.26</v>
      </c>
    </row>
    <row r="17" spans="1:8" x14ac:dyDescent="0.15">
      <c r="A17" s="14">
        <v>42917</v>
      </c>
      <c r="B17" s="14">
        <v>43281</v>
      </c>
      <c r="C17" s="15">
        <v>0.5</v>
      </c>
      <c r="D17" s="15">
        <v>0.26</v>
      </c>
      <c r="E17" s="15">
        <v>0.57499999999999996</v>
      </c>
      <c r="F17" s="15">
        <v>0.26</v>
      </c>
      <c r="G17" s="15">
        <v>0.35199999999999998</v>
      </c>
      <c r="H17" s="15">
        <v>0.26</v>
      </c>
    </row>
    <row r="18" spans="1:8" x14ac:dyDescent="0.15">
      <c r="A18" s="14">
        <v>43282</v>
      </c>
      <c r="B18" s="14">
        <v>43646</v>
      </c>
      <c r="C18" s="15">
        <v>0.505</v>
      </c>
      <c r="D18" s="15">
        <v>0.26</v>
      </c>
      <c r="E18" s="15">
        <v>0.57499999999999996</v>
      </c>
      <c r="F18" s="15">
        <v>0.26</v>
      </c>
      <c r="G18" s="15">
        <v>0.35199999999999998</v>
      </c>
      <c r="H18" s="15">
        <v>0.26</v>
      </c>
    </row>
    <row r="19" spans="1:8" x14ac:dyDescent="0.15">
      <c r="A19" s="14">
        <v>43647</v>
      </c>
      <c r="B19" s="14">
        <v>44012</v>
      </c>
      <c r="C19" s="15">
        <v>0.505</v>
      </c>
      <c r="D19" s="15">
        <v>0.26</v>
      </c>
      <c r="E19" s="15">
        <v>0.57499999999999996</v>
      </c>
      <c r="F19" s="15">
        <v>0.26</v>
      </c>
      <c r="G19" s="15">
        <v>0.35199999999999998</v>
      </c>
      <c r="H19" s="15">
        <v>0.26</v>
      </c>
    </row>
    <row r="20" spans="1:8" x14ac:dyDescent="0.15">
      <c r="A20" s="14">
        <v>44013</v>
      </c>
      <c r="B20" s="14">
        <v>44377</v>
      </c>
      <c r="C20" s="15">
        <v>0.505</v>
      </c>
      <c r="D20" s="15">
        <v>0.26</v>
      </c>
      <c r="E20" s="15">
        <v>0.57499999999999996</v>
      </c>
      <c r="F20" s="15">
        <v>0.26</v>
      </c>
      <c r="G20" s="15">
        <v>0.35199999999999998</v>
      </c>
      <c r="H20" s="15">
        <v>0.26</v>
      </c>
    </row>
    <row r="21" spans="1:8" x14ac:dyDescent="0.15">
      <c r="A21" s="14">
        <v>44378</v>
      </c>
      <c r="B21" s="14">
        <v>44742</v>
      </c>
      <c r="C21" s="15">
        <v>0.505</v>
      </c>
      <c r="D21" s="15">
        <v>0.26</v>
      </c>
      <c r="E21" s="15">
        <v>0.57499999999999996</v>
      </c>
      <c r="F21" s="15">
        <v>0.26</v>
      </c>
      <c r="G21" s="15">
        <v>0.35199999999999998</v>
      </c>
      <c r="H21" s="15">
        <v>0.26</v>
      </c>
    </row>
    <row r="22" spans="1:8" x14ac:dyDescent="0.15">
      <c r="A22" s="14">
        <v>44743</v>
      </c>
      <c r="B22" s="14">
        <v>45107</v>
      </c>
      <c r="C22" s="15">
        <v>0.505</v>
      </c>
      <c r="D22" s="15">
        <v>0.26</v>
      </c>
      <c r="E22" s="15">
        <v>0.57499999999999996</v>
      </c>
      <c r="F22" s="15">
        <v>0.26</v>
      </c>
      <c r="G22" s="15">
        <v>0.35199999999999998</v>
      </c>
      <c r="H22" s="15">
        <v>0.26</v>
      </c>
    </row>
    <row r="23" spans="1:8" x14ac:dyDescent="0.15">
      <c r="A23" s="14">
        <v>45108</v>
      </c>
      <c r="B23" s="14">
        <v>45473</v>
      </c>
      <c r="C23" s="15">
        <v>0.505</v>
      </c>
      <c r="D23" s="15">
        <v>0.26</v>
      </c>
      <c r="E23" s="15">
        <v>0.57499999999999996</v>
      </c>
      <c r="F23" s="15">
        <v>0.26</v>
      </c>
      <c r="G23" s="15">
        <v>0.35199999999999998</v>
      </c>
      <c r="H23" s="15">
        <v>0.26</v>
      </c>
    </row>
    <row r="24" spans="1:8" x14ac:dyDescent="0.15">
      <c r="A24" s="14">
        <v>45474</v>
      </c>
      <c r="B24" s="14">
        <v>45838</v>
      </c>
      <c r="C24" s="15">
        <v>0.505</v>
      </c>
      <c r="D24" s="15">
        <v>0.26</v>
      </c>
      <c r="E24" s="15">
        <v>0.57499999999999996</v>
      </c>
      <c r="F24" s="15">
        <v>0.26</v>
      </c>
      <c r="G24" s="15">
        <v>0.35199999999999998</v>
      </c>
      <c r="H24" s="15">
        <v>0.26</v>
      </c>
    </row>
    <row r="25" spans="1:8" x14ac:dyDescent="0.15">
      <c r="A25" s="14">
        <v>45839</v>
      </c>
      <c r="B25" s="14">
        <v>46203</v>
      </c>
      <c r="C25" s="15">
        <v>0.505</v>
      </c>
      <c r="D25" s="15">
        <v>0.26</v>
      </c>
      <c r="E25" s="15">
        <v>0.57499999999999996</v>
      </c>
      <c r="F25" s="15">
        <v>0.26</v>
      </c>
      <c r="G25" s="15">
        <v>0.35199999999999998</v>
      </c>
      <c r="H25" s="15">
        <v>0.26</v>
      </c>
    </row>
    <row r="28" spans="1:8" x14ac:dyDescent="0.15">
      <c r="A28" s="18" t="s">
        <v>31</v>
      </c>
      <c r="B28" s="18"/>
      <c r="C28" s="19"/>
      <c r="D28" s="19"/>
      <c r="E28" s="19"/>
    </row>
    <row r="29" spans="1:8" x14ac:dyDescent="0.15">
      <c r="A29" s="28" t="s">
        <v>22</v>
      </c>
      <c r="B29" s="28" t="s">
        <v>23</v>
      </c>
      <c r="C29" s="29" t="s">
        <v>89</v>
      </c>
      <c r="D29" s="29" t="s">
        <v>88</v>
      </c>
      <c r="E29" s="29" t="s">
        <v>90</v>
      </c>
    </row>
    <row r="30" spans="1:8" x14ac:dyDescent="0.15">
      <c r="A30" s="14">
        <v>38169</v>
      </c>
      <c r="B30" s="14">
        <v>38533</v>
      </c>
      <c r="C30" s="15">
        <v>0.44</v>
      </c>
      <c r="D30" s="15">
        <v>8.6999999999999994E-2</v>
      </c>
      <c r="E30" s="15">
        <v>0.25600000000000001</v>
      </c>
    </row>
    <row r="31" spans="1:8" x14ac:dyDescent="0.15">
      <c r="A31" s="14">
        <v>38534</v>
      </c>
      <c r="B31" s="14">
        <v>38898</v>
      </c>
      <c r="C31" s="15">
        <v>0.434</v>
      </c>
      <c r="D31" s="15">
        <v>9.0999999999999998E-2</v>
      </c>
      <c r="E31" s="15">
        <v>0.25600000000000001</v>
      </c>
    </row>
    <row r="32" spans="1:8" x14ac:dyDescent="0.15">
      <c r="A32" s="14">
        <v>38899</v>
      </c>
      <c r="B32" s="14">
        <v>39263</v>
      </c>
      <c r="C32" s="15">
        <v>0.42299999999999999</v>
      </c>
      <c r="D32" s="15">
        <v>8.3000000000000004E-2</v>
      </c>
      <c r="E32" s="15">
        <v>0.26300000000000001</v>
      </c>
    </row>
    <row r="33" spans="1:5" x14ac:dyDescent="0.15">
      <c r="A33" s="14">
        <v>39264</v>
      </c>
      <c r="B33" s="14">
        <v>39629</v>
      </c>
      <c r="C33" s="15">
        <v>0.41</v>
      </c>
      <c r="D33" s="15">
        <v>8.3000000000000004E-2</v>
      </c>
      <c r="E33" s="15">
        <v>0.26200000000000001</v>
      </c>
    </row>
    <row r="34" spans="1:5" x14ac:dyDescent="0.15">
      <c r="A34" s="14">
        <v>39630</v>
      </c>
      <c r="B34" s="14">
        <v>39994</v>
      </c>
      <c r="C34" s="15">
        <v>0.40799999999999997</v>
      </c>
      <c r="D34" s="15">
        <v>8.4000000000000005E-2</v>
      </c>
      <c r="E34" s="15">
        <v>0.28199999999999997</v>
      </c>
    </row>
    <row r="35" spans="1:5" x14ac:dyDescent="0.15">
      <c r="A35" s="14">
        <v>39995</v>
      </c>
      <c r="B35" s="14">
        <v>40359</v>
      </c>
      <c r="C35" s="15">
        <v>0.42199999999999999</v>
      </c>
      <c r="D35" s="15">
        <v>8.4000000000000005E-2</v>
      </c>
      <c r="E35" s="15">
        <v>0.313</v>
      </c>
    </row>
    <row r="36" spans="1:5" x14ac:dyDescent="0.15">
      <c r="A36" s="14">
        <v>40360</v>
      </c>
      <c r="B36" s="14">
        <v>40724</v>
      </c>
      <c r="C36" s="15">
        <v>0.44400000000000001</v>
      </c>
      <c r="D36" s="15">
        <v>7.0999999999999994E-2</v>
      </c>
      <c r="E36" s="15">
        <v>0.28999999999999998</v>
      </c>
    </row>
    <row r="37" spans="1:5" x14ac:dyDescent="0.15">
      <c r="A37" s="14">
        <v>40725</v>
      </c>
      <c r="B37" s="14">
        <v>41090</v>
      </c>
      <c r="C37" s="15">
        <v>0.45400000000000001</v>
      </c>
      <c r="D37" s="15">
        <v>9.2999999999999999E-2</v>
      </c>
      <c r="E37" s="15">
        <v>0.32500000000000001</v>
      </c>
    </row>
    <row r="38" spans="1:5" x14ac:dyDescent="0.15">
      <c r="A38" s="14">
        <v>41091</v>
      </c>
      <c r="B38" s="14">
        <v>41455</v>
      </c>
      <c r="C38" s="15">
        <v>0.45</v>
      </c>
      <c r="D38" s="15">
        <v>8.8999999999999996E-2</v>
      </c>
      <c r="E38" s="15">
        <v>0.317</v>
      </c>
    </row>
    <row r="39" spans="1:5" x14ac:dyDescent="0.15">
      <c r="A39" s="14">
        <v>41456</v>
      </c>
      <c r="B39" s="14">
        <v>41820</v>
      </c>
      <c r="C39" s="15">
        <v>0.46300000000000002</v>
      </c>
      <c r="D39" s="15">
        <v>7.9000000000000001E-2</v>
      </c>
      <c r="E39" s="15">
        <v>0.29899999999999999</v>
      </c>
    </row>
    <row r="40" spans="1:5" x14ac:dyDescent="0.15">
      <c r="A40" s="14">
        <v>41821</v>
      </c>
      <c r="B40" s="14">
        <v>42185</v>
      </c>
      <c r="C40" s="15">
        <v>0.38500000000000001</v>
      </c>
      <c r="D40" s="15">
        <v>7.6999999999999999E-2</v>
      </c>
      <c r="E40" s="15">
        <v>0.27900000000000003</v>
      </c>
    </row>
    <row r="41" spans="1:5" x14ac:dyDescent="0.15">
      <c r="A41" s="14">
        <v>42186</v>
      </c>
      <c r="B41" s="14">
        <v>42551</v>
      </c>
      <c r="C41" s="15">
        <v>0.373</v>
      </c>
      <c r="D41" s="15">
        <v>8.4000000000000005E-2</v>
      </c>
      <c r="E41" s="15">
        <v>0.249</v>
      </c>
    </row>
    <row r="42" spans="1:5" x14ac:dyDescent="0.15">
      <c r="A42" s="14">
        <v>42552</v>
      </c>
      <c r="B42" s="14">
        <v>42916</v>
      </c>
      <c r="C42" s="15">
        <v>0.373</v>
      </c>
      <c r="D42" s="15">
        <v>8.4000000000000005E-2</v>
      </c>
      <c r="E42" s="15">
        <v>0.249</v>
      </c>
    </row>
    <row r="43" spans="1:5" x14ac:dyDescent="0.15">
      <c r="A43" s="14">
        <v>42917</v>
      </c>
      <c r="B43" s="14">
        <v>43281</v>
      </c>
      <c r="C43" s="15">
        <v>0.373</v>
      </c>
      <c r="D43" s="15">
        <v>8.4000000000000005E-2</v>
      </c>
      <c r="E43" s="15">
        <v>0.249</v>
      </c>
    </row>
    <row r="44" spans="1:5" x14ac:dyDescent="0.15">
      <c r="A44" s="14">
        <v>43282</v>
      </c>
      <c r="B44" s="14">
        <v>43646</v>
      </c>
      <c r="C44" s="15">
        <v>0.373</v>
      </c>
      <c r="D44" s="15">
        <v>8.4000000000000005E-2</v>
      </c>
      <c r="E44" s="15">
        <v>0.249</v>
      </c>
    </row>
    <row r="45" spans="1:5" x14ac:dyDescent="0.15">
      <c r="A45" s="14">
        <v>43647</v>
      </c>
      <c r="B45" s="14">
        <v>44012</v>
      </c>
      <c r="C45" s="15">
        <v>0.373</v>
      </c>
      <c r="D45" s="15">
        <v>8.4000000000000005E-2</v>
      </c>
      <c r="E45" s="15">
        <v>0.249</v>
      </c>
    </row>
    <row r="46" spans="1:5" x14ac:dyDescent="0.15">
      <c r="A46" s="14">
        <v>44013</v>
      </c>
      <c r="B46" s="14">
        <v>44377</v>
      </c>
      <c r="C46" s="15">
        <v>0.373</v>
      </c>
      <c r="D46" s="15">
        <v>8.4000000000000005E-2</v>
      </c>
      <c r="E46" s="15">
        <v>0.249</v>
      </c>
    </row>
    <row r="47" spans="1:5" x14ac:dyDescent="0.15">
      <c r="A47" s="14">
        <v>44378</v>
      </c>
      <c r="B47" s="14">
        <v>44742</v>
      </c>
      <c r="C47" s="15">
        <v>0.373</v>
      </c>
      <c r="D47" s="15">
        <v>8.4000000000000005E-2</v>
      </c>
      <c r="E47" s="15">
        <v>0.249</v>
      </c>
    </row>
    <row r="48" spans="1:5" x14ac:dyDescent="0.15">
      <c r="A48" s="14">
        <v>44743</v>
      </c>
      <c r="B48" s="14">
        <v>45107</v>
      </c>
      <c r="C48" s="15">
        <v>0.373</v>
      </c>
      <c r="D48" s="15">
        <v>8.4000000000000005E-2</v>
      </c>
      <c r="E48" s="15">
        <v>0.249</v>
      </c>
    </row>
    <row r="49" spans="1:5" x14ac:dyDescent="0.15">
      <c r="A49" s="14">
        <v>45108</v>
      </c>
      <c r="B49" s="14">
        <v>45473</v>
      </c>
      <c r="C49" s="15">
        <v>0.373</v>
      </c>
      <c r="D49" s="15">
        <v>8.4000000000000005E-2</v>
      </c>
      <c r="E49" s="15">
        <v>0.249</v>
      </c>
    </row>
    <row r="50" spans="1:5" x14ac:dyDescent="0.15">
      <c r="A50" s="14">
        <v>45474</v>
      </c>
      <c r="B50" s="14">
        <v>45838</v>
      </c>
      <c r="C50" s="15">
        <v>0.373</v>
      </c>
      <c r="D50" s="15">
        <v>8.4000000000000005E-2</v>
      </c>
      <c r="E50" s="15">
        <v>0.249</v>
      </c>
    </row>
    <row r="51" spans="1:5" x14ac:dyDescent="0.15">
      <c r="A51" s="14">
        <v>45839</v>
      </c>
      <c r="B51" s="14">
        <v>46203</v>
      </c>
      <c r="C51" s="15">
        <v>0.373</v>
      </c>
      <c r="D51" s="15">
        <v>8.4000000000000005E-2</v>
      </c>
      <c r="E51" s="15">
        <v>0.249</v>
      </c>
    </row>
  </sheetData>
  <phoneticPr fontId="2" type="noConversion"/>
  <pageMargins left="0.75" right="0.75" top="1" bottom="1" header="0.5" footer="0.5"/>
  <pageSetup orientation="portrait" horizontalDpi="4294967292" verticalDpi="4294967292"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0"/>
  <sheetViews>
    <sheetView workbookViewId="0">
      <selection activeCell="A5" sqref="A5"/>
    </sheetView>
  </sheetViews>
  <sheetFormatPr baseColWidth="10" defaultColWidth="13" defaultRowHeight="13" x14ac:dyDescent="0.15"/>
  <cols>
    <col min="1" max="1" width="38.5" style="12" bestFit="1" customWidth="1"/>
    <col min="2" max="2" width="39.1640625" style="11" bestFit="1" customWidth="1"/>
    <col min="3" max="16384" width="13" style="12"/>
  </cols>
  <sheetData>
    <row r="1" spans="1:2" x14ac:dyDescent="0.15">
      <c r="A1" s="185" t="s">
        <v>212</v>
      </c>
      <c r="B1" s="185"/>
    </row>
    <row r="2" spans="1:2" ht="21.75" customHeight="1" x14ac:dyDescent="0.15">
      <c r="A2" s="10" t="s">
        <v>107</v>
      </c>
    </row>
    <row r="3" spans="1:2" x14ac:dyDescent="0.15">
      <c r="A3" s="13" t="s">
        <v>108</v>
      </c>
      <c r="B3" s="11" t="s">
        <v>109</v>
      </c>
    </row>
    <row r="4" spans="1:2" ht="26" x14ac:dyDescent="0.15">
      <c r="A4" s="13" t="s">
        <v>110</v>
      </c>
      <c r="B4" s="11" t="s">
        <v>114</v>
      </c>
    </row>
    <row r="5" spans="1:2" ht="26" x14ac:dyDescent="0.15">
      <c r="A5" s="13" t="s">
        <v>115</v>
      </c>
      <c r="B5" s="11" t="s">
        <v>117</v>
      </c>
    </row>
    <row r="6" spans="1:2" ht="26" x14ac:dyDescent="0.15">
      <c r="A6" s="13" t="s">
        <v>118</v>
      </c>
      <c r="B6" s="11" t="s">
        <v>119</v>
      </c>
    </row>
    <row r="7" spans="1:2" x14ac:dyDescent="0.15">
      <c r="A7" s="13" t="s">
        <v>105</v>
      </c>
      <c r="B7" s="11" t="s">
        <v>120</v>
      </c>
    </row>
    <row r="8" spans="1:2" ht="24.75" customHeight="1" x14ac:dyDescent="0.15">
      <c r="A8" s="10" t="s">
        <v>121</v>
      </c>
    </row>
    <row r="9" spans="1:2" x14ac:dyDescent="0.15">
      <c r="A9" s="12" t="s">
        <v>102</v>
      </c>
      <c r="B9" s="11" t="s">
        <v>122</v>
      </c>
    </row>
    <row r="10" spans="1:2" x14ac:dyDescent="0.15">
      <c r="A10" s="12" t="s">
        <v>106</v>
      </c>
      <c r="B10" s="11" t="s">
        <v>124</v>
      </c>
    </row>
    <row r="11" spans="1:2" ht="23" customHeight="1" x14ac:dyDescent="0.15">
      <c r="A11" s="10" t="s">
        <v>125</v>
      </c>
    </row>
    <row r="12" spans="1:2" x14ac:dyDescent="0.15">
      <c r="A12" s="12" t="s">
        <v>89</v>
      </c>
      <c r="B12" s="11" t="s">
        <v>126</v>
      </c>
    </row>
    <row r="13" spans="1:2" x14ac:dyDescent="0.15">
      <c r="A13" s="12" t="s">
        <v>88</v>
      </c>
      <c r="B13" s="11" t="s">
        <v>127</v>
      </c>
    </row>
    <row r="14" spans="1:2" x14ac:dyDescent="0.15">
      <c r="A14" s="12" t="s">
        <v>90</v>
      </c>
      <c r="B14" s="11" t="s">
        <v>128</v>
      </c>
    </row>
    <row r="15" spans="1:2" x14ac:dyDescent="0.15">
      <c r="A15" s="12" t="s">
        <v>103</v>
      </c>
      <c r="B15" s="11" t="s">
        <v>129</v>
      </c>
    </row>
    <row r="16" spans="1:2" ht="23" customHeight="1" x14ac:dyDescent="0.15">
      <c r="A16" s="10" t="s">
        <v>37</v>
      </c>
    </row>
    <row r="17" spans="1:1" x14ac:dyDescent="0.15">
      <c r="A17" s="12" t="s">
        <v>132</v>
      </c>
    </row>
    <row r="18" spans="1:1" x14ac:dyDescent="0.15">
      <c r="A18" s="12" t="s">
        <v>133</v>
      </c>
    </row>
    <row r="19" spans="1:1" x14ac:dyDescent="0.15">
      <c r="A19" s="12" t="s">
        <v>134</v>
      </c>
    </row>
    <row r="20" spans="1:1" x14ac:dyDescent="0.15">
      <c r="A20" s="12" t="s">
        <v>135</v>
      </c>
    </row>
    <row r="21" spans="1:1" x14ac:dyDescent="0.15">
      <c r="A21" s="12" t="s">
        <v>136</v>
      </c>
    </row>
    <row r="22" spans="1:1" x14ac:dyDescent="0.15">
      <c r="A22" s="12" t="s">
        <v>137</v>
      </c>
    </row>
    <row r="23" spans="1:1" x14ac:dyDescent="0.15">
      <c r="A23" s="12" t="s">
        <v>123</v>
      </c>
    </row>
    <row r="24" spans="1:1" ht="23" customHeight="1" x14ac:dyDescent="0.15">
      <c r="A24" s="10" t="s">
        <v>38</v>
      </c>
    </row>
    <row r="25" spans="1:1" x14ac:dyDescent="0.15">
      <c r="A25" s="12" t="s">
        <v>205</v>
      </c>
    </row>
    <row r="26" spans="1:1" x14ac:dyDescent="0.15">
      <c r="A26" s="12" t="s">
        <v>138</v>
      </c>
    </row>
    <row r="27" spans="1:1" x14ac:dyDescent="0.15">
      <c r="A27" s="12" t="s">
        <v>40</v>
      </c>
    </row>
    <row r="28" spans="1:1" ht="23" customHeight="1" x14ac:dyDescent="0.15">
      <c r="A28" s="10" t="s">
        <v>43</v>
      </c>
    </row>
    <row r="29" spans="1:1" x14ac:dyDescent="0.15">
      <c r="A29" s="12" t="s">
        <v>44</v>
      </c>
    </row>
    <row r="30" spans="1:1" x14ac:dyDescent="0.15">
      <c r="A30" s="12" t="s">
        <v>45</v>
      </c>
    </row>
    <row r="31" spans="1:1" ht="23" customHeight="1" x14ac:dyDescent="0.15">
      <c r="A31" s="10" t="s">
        <v>151</v>
      </c>
    </row>
    <row r="32" spans="1:1" x14ac:dyDescent="0.15">
      <c r="A32" s="12" t="s">
        <v>102</v>
      </c>
    </row>
    <row r="33" spans="1:1" x14ac:dyDescent="0.15">
      <c r="A33" s="12" t="s">
        <v>106</v>
      </c>
    </row>
    <row r="34" spans="1:1" ht="23" customHeight="1" x14ac:dyDescent="0.15">
      <c r="A34" s="17" t="s">
        <v>153</v>
      </c>
    </row>
    <row r="35" spans="1:1" x14ac:dyDescent="0.15">
      <c r="A35" s="12" t="s">
        <v>157</v>
      </c>
    </row>
    <row r="36" spans="1:1" x14ac:dyDescent="0.15">
      <c r="A36" s="12" t="s">
        <v>152</v>
      </c>
    </row>
    <row r="37" spans="1:1" ht="23" customHeight="1" x14ac:dyDescent="0.15">
      <c r="A37" s="17" t="s">
        <v>2</v>
      </c>
    </row>
    <row r="38" spans="1:1" x14ac:dyDescent="0.15">
      <c r="A38" s="12" t="s">
        <v>3</v>
      </c>
    </row>
    <row r="39" spans="1:1" x14ac:dyDescent="0.15">
      <c r="A39" s="12" t="s">
        <v>4</v>
      </c>
    </row>
    <row r="40" spans="1:1" x14ac:dyDescent="0.15">
      <c r="A40" s="12" t="s">
        <v>18</v>
      </c>
    </row>
  </sheetData>
  <phoneticPr fontId="7"/>
  <pageMargins left="0.75" right="0.75" top="1" bottom="1" header="0.5" footer="0.5"/>
  <pageSetup paperSize="0" orientation="portrait" horizontalDpi="4294967292" verticalDpi="4294967292"/>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21"/>
  <sheetViews>
    <sheetView workbookViewId="0">
      <selection activeCell="C2" sqref="C2"/>
    </sheetView>
  </sheetViews>
  <sheetFormatPr baseColWidth="10" defaultColWidth="8.83203125" defaultRowHeight="13" x14ac:dyDescent="0.15"/>
  <cols>
    <col min="1" max="1" width="13.5" bestFit="1" customWidth="1"/>
    <col min="2" max="2" width="19" style="161" bestFit="1" customWidth="1"/>
    <col min="3" max="3" width="45.5" style="160" customWidth="1"/>
  </cols>
  <sheetData>
    <row r="1" spans="1:3" x14ac:dyDescent="0.15">
      <c r="A1" t="s">
        <v>210</v>
      </c>
      <c r="B1" s="161">
        <v>42270</v>
      </c>
      <c r="C1" s="160" t="s">
        <v>211</v>
      </c>
    </row>
    <row r="2" spans="1:3" x14ac:dyDescent="0.15">
      <c r="A2" t="s">
        <v>208</v>
      </c>
      <c r="B2" s="161">
        <v>42080</v>
      </c>
      <c r="C2" s="160" t="s">
        <v>209</v>
      </c>
    </row>
    <row r="3" spans="1:3" ht="130" x14ac:dyDescent="0.15">
      <c r="A3" t="s">
        <v>203</v>
      </c>
      <c r="B3" s="161" t="s">
        <v>206</v>
      </c>
      <c r="C3" s="160" t="s">
        <v>207</v>
      </c>
    </row>
    <row r="4" spans="1:3" ht="65" x14ac:dyDescent="0.15">
      <c r="A4" t="s">
        <v>202</v>
      </c>
      <c r="B4" s="161">
        <v>41985</v>
      </c>
      <c r="C4" s="160" t="s">
        <v>204</v>
      </c>
    </row>
    <row r="5" spans="1:3" x14ac:dyDescent="0.15">
      <c r="A5" t="s">
        <v>199</v>
      </c>
      <c r="B5" s="161">
        <v>41983</v>
      </c>
      <c r="C5" s="160" t="s">
        <v>200</v>
      </c>
    </row>
    <row r="6" spans="1:3" ht="39" x14ac:dyDescent="0.15">
      <c r="A6" t="s">
        <v>197</v>
      </c>
      <c r="B6" s="161">
        <v>41982</v>
      </c>
      <c r="C6" s="160" t="s">
        <v>198</v>
      </c>
    </row>
    <row r="7" spans="1:3" ht="52" x14ac:dyDescent="0.15">
      <c r="A7" t="s">
        <v>195</v>
      </c>
      <c r="B7" s="161">
        <v>41978</v>
      </c>
      <c r="C7" s="160" t="s">
        <v>196</v>
      </c>
    </row>
    <row r="8" spans="1:3" ht="26" x14ac:dyDescent="0.15">
      <c r="A8" t="s">
        <v>192</v>
      </c>
      <c r="B8" s="161">
        <v>41964</v>
      </c>
      <c r="C8" s="160" t="s">
        <v>194</v>
      </c>
    </row>
    <row r="9" spans="1:3" ht="39" x14ac:dyDescent="0.15">
      <c r="A9" t="s">
        <v>191</v>
      </c>
      <c r="B9" s="161">
        <v>41957</v>
      </c>
      <c r="C9" s="160" t="s">
        <v>193</v>
      </c>
    </row>
    <row r="10" spans="1:3" ht="26" x14ac:dyDescent="0.15">
      <c r="A10" t="s">
        <v>189</v>
      </c>
      <c r="B10" s="161">
        <v>41950</v>
      </c>
      <c r="C10" s="160" t="s">
        <v>190</v>
      </c>
    </row>
    <row r="11" spans="1:3" ht="52" x14ac:dyDescent="0.15">
      <c r="A11" t="s">
        <v>187</v>
      </c>
      <c r="B11" s="161">
        <v>41943</v>
      </c>
      <c r="C11" s="160" t="s">
        <v>188</v>
      </c>
    </row>
    <row r="12" spans="1:3" ht="26" x14ac:dyDescent="0.15">
      <c r="A12" t="str">
        <f>VersionNo</f>
        <v>PropBud v1.27</v>
      </c>
      <c r="B12" s="161">
        <v>41781</v>
      </c>
      <c r="C12" s="160" t="s">
        <v>182</v>
      </c>
    </row>
    <row r="13" spans="1:3" ht="17" customHeight="1" x14ac:dyDescent="0.15">
      <c r="A13" t="s">
        <v>180</v>
      </c>
      <c r="B13" s="161">
        <v>41712</v>
      </c>
      <c r="C13" s="160" t="s">
        <v>181</v>
      </c>
    </row>
    <row r="14" spans="1:3" x14ac:dyDescent="0.15">
      <c r="A14" t="s">
        <v>177</v>
      </c>
      <c r="B14" s="161">
        <v>41309</v>
      </c>
      <c r="C14" s="160" t="s">
        <v>178</v>
      </c>
    </row>
    <row r="15" spans="1:3" x14ac:dyDescent="0.15">
      <c r="A15" t="s">
        <v>179</v>
      </c>
      <c r="B15" s="161">
        <v>40695</v>
      </c>
      <c r="C15" s="160" t="s">
        <v>176</v>
      </c>
    </row>
    <row r="16" spans="1:3" x14ac:dyDescent="0.15">
      <c r="A16" s="166" t="s">
        <v>175</v>
      </c>
      <c r="B16" s="161">
        <v>40312</v>
      </c>
      <c r="C16" s="160" t="s">
        <v>176</v>
      </c>
    </row>
    <row r="17" spans="1:3" ht="65" x14ac:dyDescent="0.15">
      <c r="A17" t="s">
        <v>173</v>
      </c>
      <c r="B17" s="167">
        <v>40190</v>
      </c>
      <c r="C17" s="168" t="s">
        <v>174</v>
      </c>
    </row>
    <row r="18" spans="1:3" x14ac:dyDescent="0.15">
      <c r="A18" t="s">
        <v>170</v>
      </c>
      <c r="B18" s="161">
        <v>39976</v>
      </c>
      <c r="C18" s="160" t="s">
        <v>169</v>
      </c>
    </row>
    <row r="19" spans="1:3" x14ac:dyDescent="0.15">
      <c r="A19" t="s">
        <v>165</v>
      </c>
      <c r="B19" s="161">
        <v>39973</v>
      </c>
      <c r="C19" s="160" t="s">
        <v>168</v>
      </c>
    </row>
    <row r="20" spans="1:3" x14ac:dyDescent="0.15">
      <c r="A20" t="s">
        <v>163</v>
      </c>
      <c r="B20" s="161">
        <v>39955</v>
      </c>
      <c r="C20" s="160" t="s">
        <v>167</v>
      </c>
    </row>
    <row r="21" spans="1:3" ht="39" x14ac:dyDescent="0.15">
      <c r="A21" t="s">
        <v>166</v>
      </c>
      <c r="B21" s="161">
        <v>39659</v>
      </c>
      <c r="C21" s="160" t="s">
        <v>162</v>
      </c>
    </row>
  </sheetData>
  <phoneticPr fontId="2"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Microsoft Office User</cp:lastModifiedBy>
  <cp:lastPrinted>2008-05-06T13:42:35Z</cp:lastPrinted>
  <dcterms:created xsi:type="dcterms:W3CDTF">1999-04-07T14:50:22Z</dcterms:created>
  <dcterms:modified xsi:type="dcterms:W3CDTF">2015-12-18T02:30:45Z</dcterms:modified>
</cp:coreProperties>
</file>