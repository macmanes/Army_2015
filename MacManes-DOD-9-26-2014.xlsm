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317" codeName="{7A2D7E96-6E34-419A-AE5F-296B3A7E7977}"/>
  <workbookPr codeName="ThisWorkbook" autoCompressPictures="0"/>
  <workbookProtection workbookAlgorithmName="SHA-512" workbookHashValue="4leemQBOWoQFP7kUxzNSY+eFj64Sgu/iRT91hBF+lJWhb0JSIjOgsoH5etpxssQrFHCOmETQmKN02mvA+gw6tQ==" workbookSaltValue="VDOygy+vpzvZfTMe1IWpJA==" workbookSpinCount="100000" lockStructure="1"/>
  <bookViews>
    <workbookView xWindow="0" yWindow="0" windowWidth="25600" windowHeight="16060" tabRatio="641" firstSheet="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Blocks!$A$4:$O$5</definedName>
    <definedName name="BudItemCol">Sponsor!$D:$D</definedName>
    <definedName name="CostShareCopyRange">Sponsor!$B$2:$O$50</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Sharing'!$53:$53</definedName>
    <definedName name="CYFacultyBlock">Blocks!$A$8:$O$8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Income'!$H:$H</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Sponsor!$L:$L</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12" i="12" l="1"/>
  <c r="H47" i="6"/>
  <c r="L46" i="6"/>
  <c r="L45" i="6"/>
  <c r="L44" i="6"/>
  <c r="L43" i="6"/>
  <c r="I42" i="6"/>
  <c r="J42" i="6"/>
  <c r="K42" i="6"/>
  <c r="L42" i="6"/>
  <c r="L41" i="6"/>
  <c r="L40" i="6"/>
  <c r="L39" i="6"/>
  <c r="L38" i="6"/>
  <c r="L37" i="6"/>
  <c r="L36" i="6"/>
  <c r="L35" i="6"/>
  <c r="L34" i="6"/>
  <c r="L33" i="6"/>
  <c r="L32" i="6"/>
  <c r="I28" i="6"/>
  <c r="J28" i="6"/>
  <c r="K28" i="6"/>
  <c r="L28" i="6"/>
  <c r="I27" i="6"/>
  <c r="J27" i="6"/>
  <c r="K27" i="6"/>
  <c r="I26" i="6"/>
  <c r="J26" i="6"/>
  <c r="K26" i="6"/>
  <c r="L26" i="6"/>
  <c r="I25" i="6"/>
  <c r="J25" i="6"/>
  <c r="K25" i="6"/>
  <c r="I24" i="6"/>
  <c r="J24" i="6"/>
  <c r="K24" i="6"/>
  <c r="L24" i="6"/>
  <c r="I22" i="6"/>
  <c r="J22" i="6"/>
  <c r="K22" i="6"/>
  <c r="I21" i="6"/>
  <c r="J21" i="6"/>
  <c r="J23" i="6"/>
  <c r="I23" i="6"/>
  <c r="L20" i="6"/>
  <c r="H18" i="6"/>
  <c r="B18" i="6"/>
  <c r="H17" i="6"/>
  <c r="B17" i="6"/>
  <c r="I17" i="6"/>
  <c r="H16" i="6"/>
  <c r="B16" i="6"/>
  <c r="H15" i="6"/>
  <c r="B15" i="6"/>
  <c r="I15" i="6"/>
  <c r="H14" i="6"/>
  <c r="B14" i="6"/>
  <c r="I14" i="6"/>
  <c r="H13" i="6"/>
  <c r="B13" i="6"/>
  <c r="I13" i="6"/>
  <c r="H12" i="6"/>
  <c r="B12" i="6"/>
  <c r="I12" i="6"/>
  <c r="H11" i="6"/>
  <c r="H48" i="6"/>
  <c r="H49" i="6"/>
  <c r="H50" i="6"/>
  <c r="B11" i="6"/>
  <c r="I11" i="6"/>
  <c r="L52" i="16"/>
  <c r="L51" i="16"/>
  <c r="H47" i="16"/>
  <c r="L46" i="16"/>
  <c r="L45" i="16"/>
  <c r="L44" i="16"/>
  <c r="L43" i="16"/>
  <c r="K42" i="16"/>
  <c r="J42" i="16"/>
  <c r="I42" i="16"/>
  <c r="L42" i="16"/>
  <c r="L41" i="16"/>
  <c r="L40" i="16"/>
  <c r="L39" i="16"/>
  <c r="L38" i="16"/>
  <c r="L37" i="16"/>
  <c r="L36" i="16"/>
  <c r="L35" i="16"/>
  <c r="L34" i="16"/>
  <c r="L33" i="16"/>
  <c r="L32" i="16"/>
  <c r="I28" i="16"/>
  <c r="J28" i="16"/>
  <c r="I27" i="16"/>
  <c r="J27" i="16"/>
  <c r="I26" i="16"/>
  <c r="J26" i="16"/>
  <c r="I25" i="16"/>
  <c r="J25" i="16"/>
  <c r="I24" i="16"/>
  <c r="J24" i="16"/>
  <c r="I22" i="16"/>
  <c r="J22" i="16"/>
  <c r="I21" i="16"/>
  <c r="I23" i="16"/>
  <c r="L20" i="16"/>
  <c r="H18" i="16"/>
  <c r="B18" i="16"/>
  <c r="I18" i="16"/>
  <c r="H17" i="16"/>
  <c r="B17" i="16"/>
  <c r="H16" i="16"/>
  <c r="B16" i="16"/>
  <c r="I16" i="16"/>
  <c r="J16" i="16"/>
  <c r="K16" i="16"/>
  <c r="H15" i="16"/>
  <c r="B15" i="16"/>
  <c r="I15" i="16"/>
  <c r="H14" i="16"/>
  <c r="B14" i="16"/>
  <c r="I14" i="16"/>
  <c r="J14" i="16"/>
  <c r="K14" i="16"/>
  <c r="H13" i="16"/>
  <c r="B13" i="16"/>
  <c r="H12" i="16"/>
  <c r="B12" i="16"/>
  <c r="I12" i="16"/>
  <c r="J12" i="16"/>
  <c r="K12" i="16"/>
  <c r="H11" i="16"/>
  <c r="B11" i="16"/>
  <c r="I13" i="13"/>
  <c r="J13" i="13"/>
  <c r="K13" i="13"/>
  <c r="L13" i="13"/>
  <c r="L12" i="13"/>
  <c r="L11" i="13"/>
  <c r="E31" i="7"/>
  <c r="E30" i="7"/>
  <c r="B27" i="7"/>
  <c r="C27" i="7"/>
  <c r="D27" i="7"/>
  <c r="E27" i="7"/>
  <c r="E26" i="7"/>
  <c r="E25" i="7"/>
  <c r="E24" i="7"/>
  <c r="E23" i="7"/>
  <c r="E22" i="7"/>
  <c r="E21" i="7"/>
  <c r="E20" i="7"/>
  <c r="E19" i="7"/>
  <c r="E18" i="7"/>
  <c r="E17" i="7"/>
  <c r="B14" i="7"/>
  <c r="C14" i="7"/>
  <c r="D14" i="7"/>
  <c r="E14" i="7"/>
  <c r="E13" i="7"/>
  <c r="E12" i="7"/>
  <c r="E11" i="7"/>
  <c r="E10" i="7"/>
  <c r="E9" i="7"/>
  <c r="E8" i="7"/>
  <c r="E7" i="7"/>
  <c r="E6" i="7"/>
  <c r="E5" i="7"/>
  <c r="E4" i="7"/>
  <c r="L52" i="12"/>
  <c r="L51" i="12"/>
  <c r="L46" i="12"/>
  <c r="L45" i="12"/>
  <c r="L44" i="12"/>
  <c r="L43" i="12"/>
  <c r="I42" i="12"/>
  <c r="J42" i="12"/>
  <c r="K42" i="12"/>
  <c r="L42" i="12"/>
  <c r="L41" i="12"/>
  <c r="L40" i="12"/>
  <c r="L39" i="12"/>
  <c r="L38" i="12"/>
  <c r="L37" i="12"/>
  <c r="L36" i="12"/>
  <c r="L35" i="12"/>
  <c r="L34" i="12"/>
  <c r="L33" i="12"/>
  <c r="L32" i="12"/>
  <c r="L20" i="12"/>
  <c r="J28" i="12"/>
  <c r="J27" i="12"/>
  <c r="K27" i="12"/>
  <c r="I26" i="12"/>
  <c r="J26" i="12"/>
  <c r="K26" i="12"/>
  <c r="L26" i="12"/>
  <c r="I25" i="12"/>
  <c r="J25" i="12"/>
  <c r="I24" i="12"/>
  <c r="J24" i="12"/>
  <c r="K24" i="12"/>
  <c r="J22" i="12"/>
  <c r="K22" i="12"/>
  <c r="L22" i="12"/>
  <c r="I21" i="12"/>
  <c r="J21" i="12"/>
  <c r="J23" i="12"/>
  <c r="H18" i="12"/>
  <c r="B18" i="12"/>
  <c r="H17" i="12"/>
  <c r="B17" i="12"/>
  <c r="H16" i="12"/>
  <c r="B16" i="12"/>
  <c r="H15" i="12"/>
  <c r="B15" i="12"/>
  <c r="H14" i="12"/>
  <c r="B14" i="12"/>
  <c r="I14" i="12"/>
  <c r="H13" i="12"/>
  <c r="B13" i="12"/>
  <c r="I13" i="12"/>
  <c r="H12" i="12"/>
  <c r="B12" i="12"/>
  <c r="H11" i="12"/>
  <c r="B11" i="12"/>
  <c r="J13" i="12"/>
  <c r="K13" i="12"/>
  <c r="L13" i="12"/>
  <c r="J14" i="12"/>
  <c r="K14" i="12"/>
  <c r="L14" i="12"/>
  <c r="I17" i="16"/>
  <c r="I11" i="16"/>
  <c r="I13" i="16"/>
  <c r="I19" i="16"/>
  <c r="I16" i="6"/>
  <c r="I18" i="6"/>
  <c r="I19" i="6"/>
  <c r="J18" i="6"/>
  <c r="K18" i="6"/>
  <c r="L18" i="6"/>
  <c r="J12" i="6"/>
  <c r="K12" i="6"/>
  <c r="J16" i="6"/>
  <c r="K16" i="6"/>
  <c r="J14" i="6"/>
  <c r="K14" i="6"/>
  <c r="L14" i="6"/>
  <c r="L22" i="6"/>
  <c r="L25" i="6"/>
  <c r="L27" i="6"/>
  <c r="J11" i="6"/>
  <c r="J13" i="6"/>
  <c r="K13" i="6"/>
  <c r="J15" i="6"/>
  <c r="K15" i="6"/>
  <c r="J17" i="6"/>
  <c r="K17" i="6"/>
  <c r="K21" i="6"/>
  <c r="K23" i="6"/>
  <c r="L21" i="6"/>
  <c r="I30" i="6"/>
  <c r="I48" i="6"/>
  <c r="J15" i="16"/>
  <c r="K15" i="16"/>
  <c r="K24" i="16"/>
  <c r="L24" i="16"/>
  <c r="K28" i="16"/>
  <c r="L28" i="16"/>
  <c r="J17" i="16"/>
  <c r="K17" i="16"/>
  <c r="K25" i="16"/>
  <c r="L25" i="16"/>
  <c r="J11" i="16"/>
  <c r="I30" i="16"/>
  <c r="K26" i="16"/>
  <c r="L26" i="16"/>
  <c r="J13" i="16"/>
  <c r="K13" i="16"/>
  <c r="K22" i="16"/>
  <c r="L22" i="16"/>
  <c r="K27" i="16"/>
  <c r="L27" i="16"/>
  <c r="J18" i="16"/>
  <c r="K18" i="16"/>
  <c r="J21" i="16"/>
  <c r="L12" i="16"/>
  <c r="L14" i="16"/>
  <c r="L16" i="16"/>
  <c r="H48" i="16"/>
  <c r="H49" i="16"/>
  <c r="H50" i="16"/>
  <c r="L27" i="12"/>
  <c r="K28" i="12"/>
  <c r="L28" i="12"/>
  <c r="K25" i="12"/>
  <c r="K23" i="12"/>
  <c r="L24" i="12"/>
  <c r="I18" i="12"/>
  <c r="I17" i="12"/>
  <c r="I15" i="12"/>
  <c r="I16" i="12"/>
  <c r="I11" i="12"/>
  <c r="A1" i="18"/>
  <c r="L17" i="6"/>
  <c r="J15" i="12"/>
  <c r="K15" i="12"/>
  <c r="L15" i="12"/>
  <c r="J11" i="12"/>
  <c r="K11" i="12"/>
  <c r="I49" i="6"/>
  <c r="J30" i="6"/>
  <c r="J48" i="6"/>
  <c r="J19" i="6"/>
  <c r="J29" i="6"/>
  <c r="K11" i="6"/>
  <c r="L23" i="6"/>
  <c r="L15" i="6"/>
  <c r="I29" i="6"/>
  <c r="L16" i="6"/>
  <c r="L12" i="6"/>
  <c r="L13" i="6"/>
  <c r="J19" i="16"/>
  <c r="J30" i="16"/>
  <c r="J48" i="16"/>
  <c r="J49" i="16"/>
  <c r="K11" i="16"/>
  <c r="L18" i="16"/>
  <c r="L13" i="16"/>
  <c r="I29" i="16"/>
  <c r="L11" i="16"/>
  <c r="L15" i="16"/>
  <c r="K21" i="16"/>
  <c r="L21" i="16"/>
  <c r="K23" i="16"/>
  <c r="J23" i="16"/>
  <c r="I48" i="16"/>
  <c r="L17" i="16"/>
  <c r="I23" i="12"/>
  <c r="L23" i="12"/>
  <c r="L25" i="12"/>
  <c r="L21" i="12"/>
  <c r="J16" i="12"/>
  <c r="K16" i="12"/>
  <c r="J12" i="12"/>
  <c r="J17" i="12"/>
  <c r="K17" i="12"/>
  <c r="J18" i="12"/>
  <c r="K18" i="12"/>
  <c r="I19" i="12"/>
  <c r="A1" i="12"/>
  <c r="I30" i="12"/>
  <c r="H47" i="12"/>
  <c r="H48" i="12"/>
  <c r="H49" i="12"/>
  <c r="H50" i="12"/>
  <c r="H53" i="12"/>
  <c r="A1" i="7"/>
  <c r="E16" i="7"/>
  <c r="A17" i="7"/>
  <c r="A18" i="7"/>
  <c r="A19" i="7"/>
  <c r="A20" i="7"/>
  <c r="A21" i="7"/>
  <c r="A22" i="7"/>
  <c r="A23" i="7"/>
  <c r="A24" i="7"/>
  <c r="A25" i="7"/>
  <c r="A26" i="7"/>
  <c r="A35" i="7"/>
  <c r="E35" i="7"/>
  <c r="A36" i="7"/>
  <c r="E36" i="7"/>
  <c r="A37" i="7"/>
  <c r="E37" i="7"/>
  <c r="A38" i="7"/>
  <c r="E38" i="7"/>
  <c r="A39" i="7"/>
  <c r="E39" i="7"/>
  <c r="A40" i="7"/>
  <c r="E40" i="7"/>
  <c r="A41" i="7"/>
  <c r="E41" i="7"/>
  <c r="A42" i="7"/>
  <c r="E42" i="7"/>
  <c r="A43" i="7"/>
  <c r="E43" i="7"/>
  <c r="A44" i="7"/>
  <c r="E44" i="7"/>
  <c r="B45" i="7"/>
  <c r="E45" i="7"/>
  <c r="A1" i="16"/>
  <c r="A1" i="6"/>
  <c r="A1" i="13"/>
  <c r="B4" i="13"/>
  <c r="H4" i="13"/>
  <c r="I4" i="13"/>
  <c r="L4" i="13"/>
  <c r="B5" i="13"/>
  <c r="H5" i="13"/>
  <c r="I5" i="13"/>
  <c r="L5" i="13"/>
  <c r="B8" i="13"/>
  <c r="H8" i="13"/>
  <c r="I8" i="13"/>
  <c r="L8" i="13"/>
  <c r="A1" i="15"/>
  <c r="A1" i="14"/>
  <c r="L11" i="12"/>
  <c r="L16" i="12"/>
  <c r="J30" i="12"/>
  <c r="J48" i="12"/>
  <c r="J49" i="12"/>
  <c r="L17" i="12"/>
  <c r="L18" i="12"/>
  <c r="J19" i="12"/>
  <c r="J29" i="12"/>
  <c r="K12" i="12"/>
  <c r="K19" i="12"/>
  <c r="K29" i="12"/>
  <c r="J49" i="6"/>
  <c r="I31" i="6"/>
  <c r="K19" i="6"/>
  <c r="K30" i="6"/>
  <c r="K48" i="6"/>
  <c r="L11" i="6"/>
  <c r="J31" i="6"/>
  <c r="J47" i="6"/>
  <c r="I49" i="16"/>
  <c r="J29" i="16"/>
  <c r="J31" i="16"/>
  <c r="J47" i="16"/>
  <c r="J50" i="16"/>
  <c r="J53" i="16"/>
  <c r="L23" i="16"/>
  <c r="I31" i="16"/>
  <c r="K19" i="16"/>
  <c r="L19" i="16"/>
  <c r="K30" i="16"/>
  <c r="L30" i="16"/>
  <c r="I48" i="12"/>
  <c r="I29" i="12"/>
  <c r="I31" i="12"/>
  <c r="K29" i="16"/>
  <c r="K31" i="16"/>
  <c r="K47" i="16"/>
  <c r="L29" i="12"/>
  <c r="K48" i="16"/>
  <c r="K49" i="16"/>
  <c r="L19" i="12"/>
  <c r="J31" i="12"/>
  <c r="J47" i="12"/>
  <c r="J50" i="12"/>
  <c r="J53" i="12"/>
  <c r="L12" i="12"/>
  <c r="K30" i="12"/>
  <c r="K49" i="6"/>
  <c r="L49" i="6"/>
  <c r="L48" i="6"/>
  <c r="I47" i="6"/>
  <c r="L19" i="6"/>
  <c r="K29" i="6"/>
  <c r="J50" i="6"/>
  <c r="L30" i="6"/>
  <c r="L49" i="16"/>
  <c r="I47" i="16"/>
  <c r="I50" i="16"/>
  <c r="L48" i="16"/>
  <c r="L31" i="16"/>
  <c r="I49" i="12"/>
  <c r="I47" i="12"/>
  <c r="K50" i="16"/>
  <c r="L50" i="16"/>
  <c r="I53" i="16"/>
  <c r="K53" i="16"/>
  <c r="L47" i="16"/>
  <c r="L29" i="16"/>
  <c r="K48" i="12"/>
  <c r="L30" i="12"/>
  <c r="K31" i="12"/>
  <c r="K47" i="12"/>
  <c r="I50" i="6"/>
  <c r="K31" i="6"/>
  <c r="L29" i="6"/>
  <c r="I50" i="12"/>
  <c r="L53" i="16"/>
  <c r="L31" i="12"/>
  <c r="K49" i="12"/>
  <c r="L49" i="12"/>
  <c r="L48" i="12"/>
  <c r="L47" i="12"/>
  <c r="K47" i="6"/>
  <c r="L31" i="6"/>
  <c r="I53" i="12"/>
  <c r="K50" i="12"/>
  <c r="K53" i="12"/>
  <c r="L53" i="12"/>
  <c r="L47" i="6"/>
  <c r="K50" i="6"/>
  <c r="L50" i="6"/>
  <c r="L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<sst xmlns="http://schemas.openxmlformats.org/spreadsheetml/2006/main" count="551" uniqueCount="197">
  <si>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</si>
  <si>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</si>
  <si>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</si>
  <si>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</si>
  <si>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</si>
  <si>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</si>
  <si>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</si>
  <si>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</si>
  <si>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</si>
  <si>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</si>
  <si>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</si>
  <si>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</si>
  <si>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</si>
  <si>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</si>
  <si>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</si>
  <si>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</si>
  <si>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</si>
  <si>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</si>
  <si>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</si>
  <si>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</si>
  <si>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</si>
  <si>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</si>
  <si>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</si>
  <si>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</si>
  <si>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</si>
  <si>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</si>
  <si>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</si>
  <si>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</si>
  <si>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</si>
  <si>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</si>
  <si>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</si>
  <si>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</si>
  <si>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</si>
  <si>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</si>
  <si>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</si>
  <si>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</si>
  <si>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</si>
  <si>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</si>
  <si>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</si>
  <si>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</si>
  <si>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</si>
  <si>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</si>
  <si>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</si>
  <si>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</si>
  <si>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</si>
  <si>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</si>
  <si>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</si>
  <si>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</si>
  <si>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</si>
  <si>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</si>
  <si>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</si>
  <si>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</si>
  <si>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</si>
  <si>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</si>
  <si>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</si>
  <si>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</si>
  <si>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</si>
  <si>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</si>
  <si>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</si>
  <si>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</si>
  <si>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</si>
  <si>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</si>
  <si>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</si>
  <si>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</si>
  <si>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</si>
  <si>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</si>
  <si>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</si>
  <si>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</si>
  <si>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</si>
  <si>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</si>
  <si>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</si>
  <si>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</si>
  <si>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</si>
  <si>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</si>
  <si>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</si>
  <si>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</si>
  <si>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</si>
  <si>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</si>
  <si>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</si>
  <si>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</si>
  <si>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</si>
  <si>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</si>
  <si>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</si>
  <si>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</si>
  <si>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</si>
  <si>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</si>
  <si>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</si>
  <si>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</si>
  <si>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</si>
  <si>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</si>
  <si>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</si>
  <si>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</si>
  <si>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</si>
  <si>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</si>
  <si>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</si>
  <si>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</si>
  <si>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</si>
  <si>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</si>
  <si>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</si>
  <si>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</si>
  <si>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</si>
  <si>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</si>
  <si>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</si>
  <si>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</si>
  <si>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</si>
  <si>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</si>
  <si>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</si>
  <si>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</si>
  <si>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</si>
  <si>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</si>
  <si>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</si>
  <si>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</si>
  <si>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</si>
  <si>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</si>
  <si>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</si>
  <si>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</si>
  <si>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</si>
  <si>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</si>
  <si>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</si>
  <si>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</si>
  <si>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</si>
  <si>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</si>
  <si>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</si>
  <si>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</si>
  <si>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</si>
  <si>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</si>
  <si>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</si>
  <si>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</si>
  <si>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</si>
  <si>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</si>
  <si>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</si>
  <si>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</si>
  <si>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</si>
  <si>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</si>
  <si>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</si>
  <si>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</si>
  <si>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</si>
  <si>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</si>
  <si>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</si>
  <si>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</si>
  <si>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</si>
  <si>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</si>
  <si>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</si>
  <si>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</si>
  <si>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</si>
  <si>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</si>
  <si>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</si>
  <si>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</si>
  <si>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</si>
  <si>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</si>
  <si>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</si>
  <si>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</si>
  <si>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</si>
  <si>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</si>
  <si>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</si>
  <si>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</si>
  <si>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</si>
  <si>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</si>
  <si>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</si>
  <si>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</si>
  <si>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</si>
  <si>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</si>
  <si>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</si>
  <si>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</si>
  <si>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</si>
  <si>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</si>
  <si>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</si>
  <si>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</si>
  <si>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</si>
  <si>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</si>
  <si>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</si>
  <si>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</si>
  <si>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</si>
  <si>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</si>
  <si>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</si>
  <si>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</si>
  <si>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</si>
  <si>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</si>
  <si>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</si>
  <si>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</si>
  <si>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</si>
  <si>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</si>
  <si>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</si>
  <si>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</si>
  <si>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PropBud v1.14</t>
  </si>
  <si>
    <t>Updated to include export values to a macro free spreadsheet for upload into InfoEd</t>
  </si>
  <si>
    <t>Matthew MacManes</t>
  </si>
  <si>
    <t>Research On-Campus (URESON)</t>
  </si>
  <si>
    <t>Std Modified Total Direct Cost (MTDC)</t>
  </si>
  <si>
    <t>CoPI 1</t>
  </si>
  <si>
    <t>CoPI 2</t>
  </si>
  <si>
    <t>CoPI 3</t>
  </si>
  <si>
    <t>CoPI 4</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</si>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</sst>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9">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82">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11" fillId="3" borderId="0" xfId="0" applyFont="1" applyFill="1" applyProtection="1"/>
  </cellXfs>
  <cellStyles count="9">
    <cellStyle name="Comma" xfId="1" builtinId="3"/>
    <cellStyle name="Followed Hyperlink" xfId="6" builtinId="9" hidden="1"/>
    <cellStyle name="Followed Hyperlink" xfId="8" builtinId="9" hidden="1"/>
    <cellStyle name="Hyperlink" xfId="5" builtinId="8" hidden="1"/>
    <cellStyle name="Hyperlink" xfId="7"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1" Type="http://schemas.openxmlformats.org/officeDocument/2006/relationships/image" Target="../media/image1.emf"/><Relationship Id="rId2"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1460500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12700</xdr:colOff>
      <xdr:row>20</xdr:row>
      <xdr:rowOff>63500</xdr:rowOff>
    </xdr:from>
    <xdr:to>
      <xdr:col>5</xdr:col>
      <xdr:colOff>241300</xdr:colOff>
      <xdr:row>23</xdr:row>
      <xdr:rowOff>12700</xdr:rowOff>
    </xdr:to>
    <xdr:sp macro="" textlink="">
      <xdr:nvSpPr>
        <xdr:cNvPr id="11265" name="cmdCreateExcel" hidden="1">
          <a:extLst>
            <a:ext uri="{63B3BB69-23CF-44E3-9099-C40C66FF867C}">
              <a14:compatExt xmlns:a14="http://schemas.microsoft.com/office/drawing/2010/main" spid="_x0000_s11265"/>
            </a:ext>
          </a:extLst>
        </xdr:cNvPr>
        <xdr:cNvSpPr/>
      </xdr:nvSpPr>
      <xdr:spPr>
        <a:xfrm>
          <a:off x="0" y="0"/>
          <a:ext cx="0" cy="0"/>
        </a:xfrm>
        <a:prstGeom prst="rect">
          <a:avLst/>
        </a:prstGeom>
      </xdr:spPr>
    </xdr:sp>
    <xdr:clientData/>
  </xdr:twoCellAnchor>
  <xdr:twoCellAnchor editAs="oneCell">
    <xdr:from>
      <xdr:col>2</xdr:col>
      <xdr:colOff>88900</xdr:colOff>
      <xdr:row>5</xdr:row>
      <xdr:rowOff>63500</xdr:rowOff>
    </xdr:from>
    <xdr:to>
      <xdr:col>5</xdr:col>
      <xdr:colOff>177800</xdr:colOff>
      <xdr:row>8</xdr:row>
      <xdr:rowOff>50800</xdr:rowOff>
    </xdr:to>
    <xdr:sp macro="" textlink="">
      <xdr:nvSpPr>
        <xdr:cNvPr id="11268" name="lblInstruct" hidden="1">
          <a:extLst>
            <a:ext uri="{63B3BB69-23CF-44E3-9099-C40C66FF867C}">
              <a14:compatExt xmlns:a14="http://schemas.microsoft.com/office/drawing/2010/main" spid="_x0000_s11268"/>
            </a:ext>
          </a:extLst>
        </xdr:cNvPr>
        <xdr:cNvSpPr/>
      </xdr:nvSpPr>
      <xdr:spPr>
        <a:xfrm>
          <a:off x="0" y="0"/>
          <a:ext cx="0" cy="0"/>
        </a:xfrm>
        <a:prstGeom prst="rect">
          <a:avLst/>
        </a:prstGeom>
      </xdr:spPr>
    </xdr:sp>
    <xdr:clientData/>
  </xdr:twoCellAnchor>
  <xdr:twoCellAnchor editAs="oneCell">
    <xdr:from>
      <xdr:col>2</xdr:col>
      <xdr:colOff>63500</xdr:colOff>
      <xdr:row>9</xdr:row>
      <xdr:rowOff>38100</xdr:rowOff>
    </xdr:from>
    <xdr:to>
      <xdr:col>5</xdr:col>
      <xdr:colOff>215900</xdr:colOff>
      <xdr:row>14</xdr:row>
      <xdr:rowOff>50800</xdr:rowOff>
    </xdr:to>
    <xdr:sp macro="" textlink="">
      <xdr:nvSpPr>
        <xdr:cNvPr id="11269" name="lstTabs" hidden="1">
          <a:extLst>
            <a:ext uri="{63B3BB69-23CF-44E3-9099-C40C66FF867C}">
              <a14:compatExt xmlns:a14="http://schemas.microsoft.com/office/drawing/2010/main" spid="_x0000_s11269"/>
            </a:ext>
          </a:extLst>
        </xdr:cNvPr>
        <xdr:cNvSpPr/>
      </xdr:nvSpPr>
      <xdr:spPr>
        <a:xfrm>
          <a:off x="0" y="0"/>
          <a:ext cx="0" cy="0"/>
        </a:xfrm>
        <a:prstGeom prst="rect">
          <a:avLst/>
        </a:prstGeom>
      </xdr:spPr>
    </xdr:sp>
    <xdr:clientData/>
  </xdr:twoCellAnchor>
  <xdr:twoCellAnchor editAs="oneCell">
    <xdr:from>
      <xdr:col>2</xdr:col>
      <xdr:colOff>76200</xdr:colOff>
      <xdr:row>15</xdr:row>
      <xdr:rowOff>139700</xdr:rowOff>
    </xdr:from>
    <xdr:to>
      <xdr:col>5</xdr:col>
      <xdr:colOff>317500</xdr:colOff>
      <xdr:row>19</xdr:row>
      <xdr:rowOff>25400</xdr:rowOff>
    </xdr:to>
    <xdr:sp macro="" textlink="">
      <xdr:nvSpPr>
        <xdr:cNvPr id="11270" name="Label1" hidden="1">
          <a:extLst>
            <a:ext uri="{63B3BB69-23CF-44E3-9099-C40C66FF867C}">
              <a14:compatExt xmlns:a14="http://schemas.microsoft.com/office/drawing/2010/main" spid="_x0000_s11270"/>
            </a:ext>
          </a:extLst>
        </xdr:cNvPr>
        <xdr:cNvSpPr/>
      </xdr:nvSpPr>
      <xdr:spPr>
        <a:xfrm>
          <a:off x="0" y="0"/>
          <a:ext cx="0" cy="0"/>
        </a:xfrm>
        <a:prstGeom prst="rect">
          <a:avLst/>
        </a:prstGeom>
      </xdr:spPr>
    </xdr:sp>
    <xdr:clientData/>
  </xdr:twoCellAnchor>
  <xdr:twoCellAnchor editAs="oneCell">
    <xdr:from>
      <xdr:col>2</xdr:col>
      <xdr:colOff>88900</xdr:colOff>
      <xdr:row>24</xdr:row>
      <xdr:rowOff>127000</xdr:rowOff>
    </xdr:from>
    <xdr:to>
      <xdr:col>5</xdr:col>
      <xdr:colOff>317500</xdr:colOff>
      <xdr:row>27</xdr:row>
      <xdr:rowOff>127000</xdr:rowOff>
    </xdr:to>
    <xdr:sp macro="" textlink="">
      <xdr:nvSpPr>
        <xdr:cNvPr id="11271" name="Label2" hidden="1">
          <a:extLst>
            <a:ext uri="{63B3BB69-23CF-44E3-9099-C40C66FF867C}">
              <a14:compatExt xmlns:a14="http://schemas.microsoft.com/office/drawing/2010/main" spid="_x0000_s11271"/>
            </a:ext>
          </a:extLst>
        </xdr:cNvPr>
        <xdr:cNvSpPr/>
      </xdr:nvSpPr>
      <xdr:spPr>
        <a:xfrm>
          <a:off x="0" y="0"/>
          <a:ext cx="0" cy="0"/>
        </a:xfrm>
        <a:prstGeom prst="rect">
          <a:avLst/>
        </a:prstGeom>
      </xdr:spPr>
    </xdr:sp>
    <xdr:clientData/>
  </xdr:twoCellAnchor>
  <xdr:twoCellAnchor editAs="oneCell">
    <xdr:from>
      <xdr:col>0</xdr:col>
      <xdr:colOff>406400</xdr:colOff>
      <xdr:row>1</xdr:row>
      <xdr:rowOff>88900</xdr:rowOff>
    </xdr:from>
    <xdr:to>
      <xdr:col>7</xdr:col>
      <xdr:colOff>368300</xdr:colOff>
      <xdr:row>3</xdr:row>
      <xdr:rowOff>228600</xdr:rowOff>
    </xdr:to>
    <xdr:sp macro="" textlink="">
      <xdr:nvSpPr>
        <xdr:cNvPr id="11272" name="Label3" hidden="1">
          <a:extLst>
            <a:ext uri="{63B3BB69-23CF-44E3-9099-C40C66FF867C}">
              <a14:compatExt xmlns:a14="http://schemas.microsoft.com/office/drawing/2010/main" spid="_x0000_s11272"/>
            </a:ext>
          </a:extLst>
        </xdr:cNvPr>
        <xdr:cNvSpPr/>
      </xdr:nvSpPr>
      <xdr:spPr>
        <a:xfrm>
          <a:off x="0" y="0"/>
          <a:ext cx="0" cy="0"/>
        </a:xfrm>
        <a:prstGeom prst="rect">
          <a:avLst/>
        </a:prstGeom>
      </xdr:spPr>
    </xdr:sp>
    <xdr:clientData/>
  </xdr:twoCellAnchor>
  <xdr:twoCellAnchor editAs="oneCell">
    <xdr:from>
      <xdr:col>2</xdr:col>
      <xdr:colOff>12700</xdr:colOff>
      <xdr:row>20</xdr:row>
      <xdr:rowOff>63500</xdr:rowOff>
    </xdr:from>
    <xdr:to>
      <xdr:col>5</xdr:col>
      <xdr:colOff>241300</xdr:colOff>
      <xdr:row>23</xdr:row>
      <xdr:rowOff>12700</xdr:rowOff>
    </xdr:to>
    <xdr:pic>
      <xdr:nvPicPr>
        <xdr:cNvPr id="2" name="cmdCreateExce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3619500"/>
          <a:ext cx="2552700" cy="444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5</xdr:row>
      <xdr:rowOff>63500</xdr:rowOff>
    </xdr:from>
    <xdr:to>
      <xdr:col>5</xdr:col>
      <xdr:colOff>177800</xdr:colOff>
      <xdr:row>8</xdr:row>
      <xdr:rowOff>50800</xdr:rowOff>
    </xdr:to>
    <xdr:pic>
      <xdr:nvPicPr>
        <xdr:cNvPr id="3" name="lblInstruct"/>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0200" y="1143000"/>
          <a:ext cx="2413000" cy="482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63500</xdr:colOff>
      <xdr:row>9</xdr:row>
      <xdr:rowOff>38100</xdr:rowOff>
    </xdr:from>
    <xdr:to>
      <xdr:col>5</xdr:col>
      <xdr:colOff>215900</xdr:colOff>
      <xdr:row>14</xdr:row>
      <xdr:rowOff>50800</xdr:rowOff>
    </xdr:to>
    <xdr:pic>
      <xdr:nvPicPr>
        <xdr:cNvPr id="4" name="lstTabs"/>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74800" y="1778000"/>
          <a:ext cx="2476500" cy="838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76200</xdr:colOff>
      <xdr:row>15</xdr:row>
      <xdr:rowOff>139700</xdr:rowOff>
    </xdr:from>
    <xdr:to>
      <xdr:col>5</xdr:col>
      <xdr:colOff>317500</xdr:colOff>
      <xdr:row>19</xdr:row>
      <xdr:rowOff>25400</xdr:rowOff>
    </xdr:to>
    <xdr:pic>
      <xdr:nvPicPr>
        <xdr:cNvPr id="5" name="Label1"/>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87500" y="2870200"/>
          <a:ext cx="2565400" cy="546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24</xdr:row>
      <xdr:rowOff>127000</xdr:rowOff>
    </xdr:from>
    <xdr:to>
      <xdr:col>5</xdr:col>
      <xdr:colOff>317500</xdr:colOff>
      <xdr:row>27</xdr:row>
      <xdr:rowOff>127000</xdr:rowOff>
    </xdr:to>
    <xdr:pic>
      <xdr:nvPicPr>
        <xdr:cNvPr id="6" name="Label2"/>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00200" y="4343400"/>
          <a:ext cx="2552700" cy="495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406400</xdr:colOff>
      <xdr:row>1</xdr:row>
      <xdr:rowOff>88900</xdr:rowOff>
    </xdr:from>
    <xdr:to>
      <xdr:col>7</xdr:col>
      <xdr:colOff>368300</xdr:colOff>
      <xdr:row>3</xdr:row>
      <xdr:rowOff>228600</xdr:rowOff>
    </xdr:to>
    <xdr:pic>
      <xdr:nvPicPr>
        <xdr:cNvPr id="7" name="Label3"/>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06400" y="254000"/>
          <a:ext cx="5194300" cy="469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7.emf"/><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184</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186</v>
      </c>
    </row>
    <row r="8" spans="1:2">
      <c r="A8" s="95" t="s">
        <v>42</v>
      </c>
      <c r="B8" s="100" t="s">
        <v>44</v>
      </c>
    </row>
    <row r="9" spans="1:2">
      <c r="A9" s="94" t="s">
        <v>47</v>
      </c>
    </row>
    <row r="10" spans="1:2">
      <c r="A10" s="95" t="s">
        <v>36</v>
      </c>
      <c r="B10" s="102" t="s">
        <v>187</v>
      </c>
    </row>
    <row r="11" spans="1:2">
      <c r="A11" s="114" t="s">
        <v>55</v>
      </c>
      <c r="B11" s="103"/>
    </row>
    <row r="12" spans="1:2">
      <c r="A12" s="95" t="s">
        <v>48</v>
      </c>
      <c r="B12" s="102" t="s">
        <v>188</v>
      </c>
    </row>
    <row r="13" spans="1:2" ht="24">
      <c r="A13" s="94" t="s">
        <v>158</v>
      </c>
      <c r="B13" s="104">
        <v>0.03</v>
      </c>
    </row>
    <row r="15" spans="1:2">
      <c r="A15" s="94" t="s">
        <v>41</v>
      </c>
    </row>
    <row r="16" spans="1:2">
      <c r="A16" s="95" t="s">
        <v>54</v>
      </c>
      <c r="B16" s="101">
        <v>42005</v>
      </c>
    </row>
    <row r="17" spans="1:7" ht="23" customHeight="1">
      <c r="A17" s="95" t="s">
        <v>148</v>
      </c>
      <c r="B17" s="100">
        <v>3</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81"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pageSetUpPr fitToPage="1"/>
  </sheetPr>
  <dimension ref="A1:P59"/>
  <sheetViews>
    <sheetView tabSelected="1" topLeftCell="A9" zoomScale="125" zoomScaleNormal="125" zoomScalePageLayoutView="125" workbookViewId="0">
      <selection activeCell="J12" sqref="J12"/>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2" width="11" style="40" customWidth="1"/>
    <col min="13" max="13" width="1.5703125" style="40" customWidth="1"/>
    <col min="14" max="14" width="4.5703125" style="42" customWidth="1"/>
    <col min="15" max="15" width="4.140625" style="42" customWidth="1"/>
    <col min="16" max="16" width="33" style="155" customWidth="1"/>
    <col min="17" max="16384" width="11" style="40"/>
  </cols>
  <sheetData>
    <row r="1" spans="1:16" ht="12" customHeight="1">
      <c r="A1" s="39" t="str">
        <f>VersionNo</f>
        <v>PropBud v1.14</v>
      </c>
      <c r="B1" s="39"/>
      <c r="C1" s="39"/>
    </row>
    <row r="2" spans="1:16" s="46" customFormat="1" ht="11">
      <c r="A2" s="43"/>
      <c r="B2" s="43"/>
      <c r="C2" s="43"/>
      <c r="D2" s="43"/>
      <c r="E2" s="44"/>
      <c r="F2" s="44"/>
      <c r="G2" s="45" t="s">
        <v>116</v>
      </c>
      <c r="H2" s="45"/>
      <c r="I2" s="43">
        <v>42005</v>
      </c>
      <c r="J2" s="43">
        <v>42370</v>
      </c>
      <c r="K2" s="43">
        <v>42736</v>
      </c>
      <c r="L2" s="43"/>
      <c r="M2" s="43"/>
      <c r="N2" s="44"/>
      <c r="O2" s="44"/>
      <c r="P2" s="156"/>
    </row>
    <row r="3" spans="1:16" s="46" customFormat="1" ht="17.25" customHeight="1">
      <c r="A3" s="112" t="s">
        <v>113</v>
      </c>
      <c r="B3" s="43"/>
      <c r="C3" s="43"/>
      <c r="D3" s="43"/>
      <c r="E3" s="44"/>
      <c r="F3" s="111" t="s">
        <v>112</v>
      </c>
      <c r="G3" s="45"/>
      <c r="H3" s="45"/>
      <c r="I3" s="43"/>
      <c r="J3" s="43"/>
      <c r="K3" s="43"/>
      <c r="L3" s="43"/>
      <c r="M3" s="43"/>
      <c r="N3" s="44"/>
      <c r="O3" s="44"/>
      <c r="P3" s="156"/>
    </row>
    <row r="4" spans="1:16">
      <c r="A4" s="112"/>
      <c r="B4" s="51" t="s">
        <v>8</v>
      </c>
      <c r="C4" s="47"/>
      <c r="D4" s="110">
        <v>0.47499999403953552</v>
      </c>
      <c r="E4" s="49"/>
      <c r="F4" s="50"/>
      <c r="G4" s="51" t="s">
        <v>8</v>
      </c>
      <c r="H4" s="51"/>
      <c r="I4" s="52">
        <v>0.47499999403953552</v>
      </c>
      <c r="J4" s="52">
        <v>0.47499999403953552</v>
      </c>
      <c r="K4" s="52">
        <v>0.47499999403953552</v>
      </c>
      <c r="L4" s="52"/>
      <c r="M4" s="48"/>
      <c r="N4" s="53"/>
      <c r="O4" s="53"/>
      <c r="P4" s="157"/>
    </row>
    <row r="5" spans="1:16" ht="12.75" customHeight="1">
      <c r="A5" s="113"/>
      <c r="B5" s="51" t="s">
        <v>32</v>
      </c>
      <c r="C5" s="47"/>
      <c r="D5" s="110">
        <v>0.38499999046325684</v>
      </c>
      <c r="E5" s="49"/>
      <c r="F5" s="50"/>
      <c r="G5" s="51" t="s">
        <v>32</v>
      </c>
      <c r="H5" s="51"/>
      <c r="I5" s="52">
        <v>0.38499999046325684</v>
      </c>
      <c r="J5" s="52">
        <v>0.38499999046325684</v>
      </c>
      <c r="K5" s="52">
        <v>0.38499999046325684</v>
      </c>
      <c r="L5" s="52"/>
      <c r="M5" s="48"/>
      <c r="N5" s="53"/>
      <c r="O5" s="53"/>
      <c r="P5" s="157"/>
    </row>
    <row r="6" spans="1:16" ht="12" customHeight="1">
      <c r="A6" s="113"/>
      <c r="B6" s="51" t="s">
        <v>34</v>
      </c>
      <c r="C6" s="47"/>
      <c r="D6" s="110">
        <v>7.6999999582767487E-2</v>
      </c>
      <c r="E6" s="49"/>
      <c r="F6" s="50"/>
      <c r="G6" s="51" t="s">
        <v>34</v>
      </c>
      <c r="H6" s="51"/>
      <c r="I6" s="52">
        <v>7.6999999582767487E-2</v>
      </c>
      <c r="J6" s="52">
        <v>7.6999999582767487E-2</v>
      </c>
      <c r="K6" s="52">
        <v>7.6999999582767487E-2</v>
      </c>
      <c r="L6" s="52"/>
      <c r="M6" s="48"/>
      <c r="N6" s="53"/>
      <c r="O6" s="53"/>
      <c r="P6" s="157"/>
    </row>
    <row r="7" spans="1:16" ht="12" customHeight="1">
      <c r="A7" s="113"/>
      <c r="B7" s="51" t="s">
        <v>35</v>
      </c>
      <c r="C7" s="47"/>
      <c r="D7" s="110">
        <v>0.27900001406669617</v>
      </c>
      <c r="E7" s="49"/>
      <c r="F7" s="50"/>
      <c r="G7" s="51" t="s">
        <v>35</v>
      </c>
      <c r="H7" s="51"/>
      <c r="I7" s="52">
        <v>0.27900001406669617</v>
      </c>
      <c r="J7" s="52">
        <v>0.27900001406669617</v>
      </c>
      <c r="K7" s="52">
        <v>0.27900001406669617</v>
      </c>
      <c r="L7" s="52"/>
      <c r="M7" s="48"/>
      <c r="N7" s="53"/>
      <c r="O7" s="53"/>
      <c r="P7" s="157"/>
    </row>
    <row r="8" spans="1:16" ht="20" customHeight="1">
      <c r="A8" s="54" t="s">
        <v>39</v>
      </c>
      <c r="B8" s="55"/>
      <c r="C8" s="48"/>
      <c r="D8" s="110"/>
      <c r="E8" s="49"/>
      <c r="F8" s="49"/>
      <c r="G8" s="51" t="s">
        <v>151</v>
      </c>
      <c r="H8" s="51"/>
      <c r="I8" s="52"/>
      <c r="J8" s="52">
        <v>2.9999999329447746E-2</v>
      </c>
      <c r="K8" s="52">
        <v>2.9999999329447746E-2</v>
      </c>
      <c r="L8" s="48"/>
      <c r="M8" s="48"/>
      <c r="N8" s="53"/>
      <c r="O8" s="53"/>
      <c r="P8" s="158"/>
    </row>
    <row r="9" spans="1:16" ht="22">
      <c r="A9" s="56" t="s">
        <v>142</v>
      </c>
      <c r="B9" s="56" t="s">
        <v>143</v>
      </c>
      <c r="I9" s="57" t="s">
        <v>100</v>
      </c>
      <c r="J9" s="57" t="s">
        <v>193</v>
      </c>
      <c r="K9" s="57" t="s">
        <v>194</v>
      </c>
      <c r="L9" s="57" t="s">
        <v>59</v>
      </c>
      <c r="M9" s="58"/>
      <c r="N9" s="59" t="s">
        <v>101</v>
      </c>
      <c r="O9" s="59" t="s">
        <v>87</v>
      </c>
      <c r="P9" s="159" t="s">
        <v>163</v>
      </c>
    </row>
    <row r="10" spans="1:16">
      <c r="A10" s="60" t="s">
        <v>110</v>
      </c>
      <c r="B10" s="38">
        <v>0.03</v>
      </c>
      <c r="C10" s="61" t="s">
        <v>60</v>
      </c>
      <c r="D10" s="62"/>
      <c r="E10" s="57" t="s">
        <v>46</v>
      </c>
      <c r="F10" s="57" t="s">
        <v>144</v>
      </c>
      <c r="G10" s="63"/>
      <c r="H10" s="62"/>
      <c r="I10" s="64"/>
      <c r="J10" s="64"/>
      <c r="K10" s="64"/>
      <c r="L10" s="64"/>
      <c r="N10" s="65"/>
    </row>
    <row r="11" spans="1:16">
      <c r="A11" s="6" t="s">
        <v>110</v>
      </c>
      <c r="B11" s="38">
        <f t="shared" ref="B11:B18" si="0">FacInflationPct</f>
        <v>0.03</v>
      </c>
      <c r="C11" s="3"/>
      <c r="D11" s="90" t="s">
        <v>186</v>
      </c>
      <c r="E11" s="89">
        <v>75850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6">
      <c r="A12" s="6" t="s">
        <v>110</v>
      </c>
      <c r="B12" s="38">
        <f t="shared" si="0"/>
        <v>0.03</v>
      </c>
      <c r="C12" s="3"/>
      <c r="D12" s="34"/>
      <c r="E12" s="154"/>
      <c r="F12" s="33">
        <v>2</v>
      </c>
      <c r="G12" s="24" t="s">
        <v>62</v>
      </c>
      <c r="H12" s="7">
        <f>$E11/9*$F12</f>
        <v>16855.555555555555</v>
      </c>
      <c r="I12" s="90">
        <f>H12*(1+$B12)</f>
        <v>17361.222222222223</v>
      </c>
      <c r="J12" s="90">
        <f t="shared" si="1"/>
        <v>17882.058888888889</v>
      </c>
      <c r="K12" s="90">
        <f t="shared" si="1"/>
        <v>18418.520655555556</v>
      </c>
      <c r="L12" s="8">
        <f>SUM( $I$12:$K$12)</f>
        <v>53661.801766666664</v>
      </c>
      <c r="M12" s="8"/>
      <c r="N12" s="29" t="s">
        <v>102</v>
      </c>
      <c r="O12" s="29" t="s">
        <v>88</v>
      </c>
    </row>
    <row r="13" spans="1:16">
      <c r="A13" s="6" t="s">
        <v>110</v>
      </c>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6">
      <c r="A14" s="6" t="s">
        <v>110</v>
      </c>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6">
      <c r="A15" s="6" t="s">
        <v>110</v>
      </c>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6">
      <c r="A16" s="6" t="s">
        <v>110</v>
      </c>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1:16">
      <c r="A17" s="6" t="s">
        <v>110</v>
      </c>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1:16">
      <c r="A18" s="6" t="s">
        <v>110</v>
      </c>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1:16">
      <c r="A19" s="47"/>
      <c r="B19" s="93"/>
      <c r="C19" s="48"/>
      <c r="D19" s="66" t="s">
        <v>63</v>
      </c>
      <c r="E19" s="67"/>
      <c r="F19" s="67"/>
      <c r="G19" s="68"/>
      <c r="H19" s="68"/>
      <c r="I19" s="48">
        <f>SUM( I11:I18)</f>
        <v>17361.222222222223</v>
      </c>
      <c r="J19" s="48">
        <f>SUM( J11:J18)</f>
        <v>17882.058888888889</v>
      </c>
      <c r="K19" s="48">
        <f>SUM( K11:K18)</f>
        <v>18418.520655555556</v>
      </c>
      <c r="L19" s="48">
        <f>SUM( $I$19:$K$19)</f>
        <v>53661.801766666664</v>
      </c>
      <c r="M19" s="48"/>
      <c r="N19" s="53"/>
      <c r="O19" s="53"/>
      <c r="P19" s="157"/>
    </row>
    <row r="20" spans="1:16" s="71" customFormat="1">
      <c r="A20" s="69" t="s">
        <v>108</v>
      </c>
      <c r="B20" s="69"/>
      <c r="C20" s="70" t="s">
        <v>64</v>
      </c>
      <c r="D20" s="40"/>
      <c r="E20" s="41"/>
      <c r="F20" s="41"/>
      <c r="G20" s="40"/>
      <c r="H20" s="40"/>
      <c r="L20" s="71">
        <f>SUM( $I$20:$K$20)</f>
        <v>0</v>
      </c>
      <c r="N20" s="72"/>
      <c r="O20" s="72"/>
      <c r="P20" s="160"/>
    </row>
    <row r="21" spans="1:16" s="71" customFormat="1">
      <c r="A21" s="73"/>
      <c r="B21" s="73"/>
      <c r="C21" s="74"/>
      <c r="D21" s="70" t="s">
        <v>65</v>
      </c>
      <c r="G21" s="75"/>
      <c r="H21" s="75">
        <v>0</v>
      </c>
      <c r="I21" s="32">
        <f>H21*(1+I$8)</f>
        <v>0</v>
      </c>
      <c r="J21" s="32">
        <f>I21*(1+J$8)</f>
        <v>0</v>
      </c>
      <c r="K21" s="32">
        <v>17595</v>
      </c>
      <c r="L21" s="71">
        <f>SUM( $I$21:$K$21)</f>
        <v>17595</v>
      </c>
      <c r="N21" s="72" t="s">
        <v>102</v>
      </c>
      <c r="O21" s="72" t="s">
        <v>103</v>
      </c>
      <c r="P21" s="160"/>
    </row>
    <row r="22" spans="1:16" s="71" customFormat="1">
      <c r="A22" s="73"/>
      <c r="B22" s="73"/>
      <c r="C22" s="74"/>
      <c r="D22" s="70" t="s">
        <v>145</v>
      </c>
      <c r="H22" s="75">
        <v>0</v>
      </c>
      <c r="I22" s="32">
        <v>7000</v>
      </c>
      <c r="J22" s="32">
        <f t="shared" ref="I22:K28" si="2">I22*(1+J$8)</f>
        <v>7209.9999953061342</v>
      </c>
      <c r="K22" s="32">
        <f t="shared" si="2"/>
        <v>7426.2999903306363</v>
      </c>
      <c r="L22" s="71">
        <f>SUM( $I$22:$K$22)</f>
        <v>21636.299985636771</v>
      </c>
      <c r="N22" s="72" t="s">
        <v>102</v>
      </c>
      <c r="O22" s="72" t="s">
        <v>88</v>
      </c>
      <c r="P22" s="160"/>
    </row>
    <row r="23" spans="1:16" s="71" customFormat="1">
      <c r="A23" s="76"/>
      <c r="B23" s="76"/>
      <c r="C23" s="77"/>
      <c r="D23" s="66" t="s">
        <v>95</v>
      </c>
      <c r="E23" s="68"/>
      <c r="F23" s="68"/>
      <c r="G23" s="78" t="s">
        <v>15</v>
      </c>
      <c r="H23" s="75">
        <v>0</v>
      </c>
      <c r="I23" s="68">
        <f>SUM(I21:I22)</f>
        <v>7000</v>
      </c>
      <c r="J23" s="68">
        <f>SUM(J21:J22)</f>
        <v>7209.9999953061342</v>
      </c>
      <c r="K23" s="68">
        <f>SUM(K21:K22)</f>
        <v>25021.299990330637</v>
      </c>
      <c r="L23" s="68">
        <f>SUM( $I$23:$K$23)</f>
        <v>39231.299985636768</v>
      </c>
      <c r="M23" s="68"/>
      <c r="N23" s="79"/>
      <c r="O23" s="79"/>
      <c r="P23" s="161"/>
    </row>
    <row r="24" spans="1:16" s="71" customFormat="1">
      <c r="A24" s="73"/>
      <c r="B24" s="73"/>
      <c r="C24" s="74"/>
      <c r="D24" s="70" t="s">
        <v>66</v>
      </c>
      <c r="G24" s="75" t="s">
        <v>16</v>
      </c>
      <c r="H24" s="75">
        <v>0</v>
      </c>
      <c r="I24" s="32">
        <f t="shared" si="2"/>
        <v>0</v>
      </c>
      <c r="J24" s="32">
        <f t="shared" si="2"/>
        <v>0</v>
      </c>
      <c r="K24" s="32">
        <f t="shared" si="2"/>
        <v>0</v>
      </c>
      <c r="L24" s="71">
        <f>SUM( $I$24:$K$24)</f>
        <v>0</v>
      </c>
      <c r="N24" s="72" t="s">
        <v>102</v>
      </c>
      <c r="O24" s="72" t="s">
        <v>90</v>
      </c>
      <c r="P24" s="160"/>
    </row>
    <row r="25" spans="1:16" s="71" customFormat="1">
      <c r="A25" s="73"/>
      <c r="B25" s="73"/>
      <c r="C25" s="74"/>
      <c r="D25" s="70" t="s">
        <v>67</v>
      </c>
      <c r="G25" s="75" t="s">
        <v>17</v>
      </c>
      <c r="H25" s="75">
        <v>0</v>
      </c>
      <c r="I25" s="32">
        <f t="shared" si="2"/>
        <v>0</v>
      </c>
      <c r="J25" s="32">
        <f t="shared" si="2"/>
        <v>0</v>
      </c>
      <c r="K25" s="32">
        <f t="shared" si="2"/>
        <v>0</v>
      </c>
      <c r="L25" s="71">
        <f>SUM( $I$25:$K$25)</f>
        <v>0</v>
      </c>
      <c r="N25" s="72" t="s">
        <v>102</v>
      </c>
      <c r="O25" s="72" t="s">
        <v>89</v>
      </c>
      <c r="P25" s="160"/>
    </row>
    <row r="26" spans="1:16" s="71" customFormat="1">
      <c r="A26" s="73"/>
      <c r="B26" s="73"/>
      <c r="C26" s="74"/>
      <c r="D26" s="70" t="s">
        <v>68</v>
      </c>
      <c r="G26" s="75" t="s">
        <v>19</v>
      </c>
      <c r="H26" s="75">
        <v>0</v>
      </c>
      <c r="I26" s="32">
        <f t="shared" si="2"/>
        <v>0</v>
      </c>
      <c r="J26" s="32">
        <f t="shared" si="2"/>
        <v>0</v>
      </c>
      <c r="K26" s="32">
        <f t="shared" si="2"/>
        <v>0</v>
      </c>
      <c r="L26" s="71">
        <f>SUM( $I$26:$K$26)</f>
        <v>0</v>
      </c>
      <c r="N26" s="72" t="s">
        <v>102</v>
      </c>
      <c r="O26" s="72" t="s">
        <v>89</v>
      </c>
      <c r="P26" s="160"/>
    </row>
    <row r="27" spans="1:16" s="71" customFormat="1">
      <c r="A27" s="73"/>
      <c r="B27" s="73"/>
      <c r="C27" s="74"/>
      <c r="D27" s="70" t="s">
        <v>146</v>
      </c>
      <c r="G27" s="75" t="s">
        <v>20</v>
      </c>
      <c r="H27" s="75">
        <v>0</v>
      </c>
      <c r="I27" s="32">
        <v>4500</v>
      </c>
      <c r="J27" s="32">
        <f t="shared" si="2"/>
        <v>4634.9999969825149</v>
      </c>
      <c r="K27" s="32">
        <f t="shared" si="2"/>
        <v>4774.0499937839804</v>
      </c>
      <c r="L27" s="71">
        <f>SUM( $I$27:$K$27)</f>
        <v>13909.049990766496</v>
      </c>
      <c r="N27" s="72" t="s">
        <v>102</v>
      </c>
      <c r="O27" s="72" t="s">
        <v>88</v>
      </c>
      <c r="P27" s="160"/>
    </row>
    <row r="28" spans="1:16">
      <c r="A28" s="73"/>
      <c r="B28" s="73"/>
      <c r="C28" s="74"/>
      <c r="D28" s="70" t="s">
        <v>147</v>
      </c>
      <c r="E28" s="71"/>
      <c r="F28" s="71"/>
      <c r="G28" s="75" t="s">
        <v>20</v>
      </c>
      <c r="H28" s="75">
        <v>0</v>
      </c>
      <c r="I28" s="32">
        <v>0</v>
      </c>
      <c r="J28" s="32">
        <f t="shared" si="2"/>
        <v>0</v>
      </c>
      <c r="K28" s="32">
        <f t="shared" si="2"/>
        <v>0</v>
      </c>
      <c r="L28" s="71">
        <f>SUM( $I$28:$K$28)</f>
        <v>0</v>
      </c>
      <c r="N28" s="42" t="s">
        <v>102</v>
      </c>
      <c r="O28" s="42" t="s">
        <v>103</v>
      </c>
    </row>
    <row r="29" spans="1:16">
      <c r="A29" s="47"/>
      <c r="B29" s="47"/>
      <c r="C29" s="48"/>
      <c r="D29" s="66" t="s">
        <v>69</v>
      </c>
      <c r="E29" s="49"/>
      <c r="F29" s="49"/>
      <c r="G29" s="48"/>
      <c r="H29" s="48"/>
      <c r="I29" s="48">
        <f>SUM(I24:I28)+I23+I19</f>
        <v>28861.222222222223</v>
      </c>
      <c r="J29" s="48">
        <f>SUM(J24:J28)+J23+J19</f>
        <v>29727.058881177538</v>
      </c>
      <c r="K29" s="48">
        <f>SUM(K24:K28)+K23+K19</f>
        <v>48213.870639670175</v>
      </c>
      <c r="L29" s="48">
        <f>SUM( $I$29:$K$29)</f>
        <v>106802.15174306993</v>
      </c>
      <c r="M29" s="48"/>
      <c r="N29" s="53"/>
      <c r="O29" s="53"/>
      <c r="P29" s="157"/>
    </row>
    <row r="30" spans="1:16" ht="21.75" customHeight="1">
      <c r="A30" s="69" t="s">
        <v>104</v>
      </c>
      <c r="B30" s="69"/>
      <c r="C30" s="70" t="s">
        <v>70</v>
      </c>
      <c r="D30" s="71"/>
      <c r="E30" s="71"/>
      <c r="F30" s="71"/>
      <c r="G30" s="80" t="s">
        <v>131</v>
      </c>
      <c r="H30" s="80">
        <v>0</v>
      </c>
      <c r="I30" s="71">
        <f>(SUMIF($O10:$O28,"FF",I10:I28)*I5) + (SUMIF($O10:$O28,"PF",I10:I28)*I6) + (SUMIF($O10:$O28,"PD",I10:I28)*I7)</f>
        <v>2222.3140990692709</v>
      </c>
      <c r="J30" s="71">
        <f>(SUMIF($O10:$O28,"FF",J10:J28)*J5) + (SUMIF($O10:$O28,"PF",J10:J28)*J6) + (SUMIF($O10:$O28,"PD",J10:J28)*J7)</f>
        <v>2288.9835214475747</v>
      </c>
      <c r="K30" s="71">
        <f>(SUMIF($O10:$O28,"FF",K10:K28)*K5) + (SUMIF($O10:$O28,"PF",K10:K28)*K6) + (SUMIF($O10:$O28,"PD",K10:K28)*K7)</f>
        <v>2357.6530264794151</v>
      </c>
      <c r="L30" s="81">
        <f>SUM( $I$30:$K$30)</f>
        <v>6868.9506469962598</v>
      </c>
      <c r="N30" s="42" t="s">
        <v>102</v>
      </c>
    </row>
    <row r="31" spans="1:16" ht="26.25" customHeight="1">
      <c r="A31" s="47"/>
      <c r="B31" s="47"/>
      <c r="C31" s="48"/>
      <c r="D31" s="66" t="s">
        <v>71</v>
      </c>
      <c r="E31" s="49"/>
      <c r="F31" s="49"/>
      <c r="G31" s="48"/>
      <c r="H31" s="48"/>
      <c r="I31" s="48">
        <f>SUM(I29+I30)</f>
        <v>31083.536321291493</v>
      </c>
      <c r="J31" s="48">
        <f>SUM(J29+J30)</f>
        <v>32016.042402625113</v>
      </c>
      <c r="K31" s="48">
        <f>SUM(K29+K30)</f>
        <v>50571.523666149587</v>
      </c>
      <c r="L31" s="48">
        <f>SUM( $I$31:$K$31)</f>
        <v>113671.1023900662</v>
      </c>
      <c r="M31" s="48"/>
      <c r="N31" s="53"/>
      <c r="O31" s="53"/>
      <c r="P31" s="157"/>
    </row>
    <row r="32" spans="1:16">
      <c r="A32" s="39" t="s">
        <v>105</v>
      </c>
      <c r="B32" s="39"/>
      <c r="C32" s="40" t="s">
        <v>72</v>
      </c>
      <c r="G32" s="80">
        <v>721100</v>
      </c>
      <c r="H32" s="80">
        <v>0</v>
      </c>
      <c r="I32" s="90">
        <v>0</v>
      </c>
      <c r="J32" s="90">
        <v>0</v>
      </c>
      <c r="K32" s="90">
        <v>5456</v>
      </c>
      <c r="L32" s="40">
        <f>SUM( $I$32:$K$32)</f>
        <v>5456</v>
      </c>
      <c r="N32" s="42" t="s">
        <v>106</v>
      </c>
    </row>
    <row r="33" spans="1:16">
      <c r="A33" s="39" t="s">
        <v>105</v>
      </c>
      <c r="B33" s="39"/>
      <c r="C33" s="40" t="s">
        <v>73</v>
      </c>
      <c r="G33" s="80">
        <v>740000</v>
      </c>
      <c r="H33" s="80">
        <v>0</v>
      </c>
      <c r="I33" s="90">
        <v>0</v>
      </c>
      <c r="J33" s="90">
        <v>0</v>
      </c>
      <c r="K33" s="90">
        <v>0</v>
      </c>
      <c r="L33" s="40">
        <f>SUM( $I$33:$K$33)</f>
        <v>0</v>
      </c>
      <c r="N33" s="42" t="s">
        <v>106</v>
      </c>
    </row>
    <row r="34" spans="1:16">
      <c r="A34" s="91" t="s">
        <v>105</v>
      </c>
      <c r="B34" s="91"/>
      <c r="C34" s="40" t="s">
        <v>74</v>
      </c>
      <c r="G34" s="80">
        <v>710000</v>
      </c>
      <c r="H34" s="80">
        <v>0</v>
      </c>
      <c r="I34" s="90"/>
      <c r="J34" s="90">
        <v>2500</v>
      </c>
      <c r="K34" s="90">
        <v>2500</v>
      </c>
      <c r="L34" s="40">
        <f>SUM( $I$34:$K$34)</f>
        <v>5000</v>
      </c>
      <c r="N34" s="42" t="s">
        <v>102</v>
      </c>
    </row>
    <row r="35" spans="1:16">
      <c r="A35" s="82"/>
      <c r="B35" s="47"/>
      <c r="C35" s="48" t="s">
        <v>75</v>
      </c>
      <c r="D35" s="48"/>
      <c r="E35" s="49"/>
      <c r="F35" s="49"/>
      <c r="G35" s="83"/>
      <c r="H35" s="83"/>
      <c r="I35" s="48"/>
      <c r="J35" s="48"/>
      <c r="K35" s="48"/>
      <c r="L35" s="48">
        <f>SUM( $I$35:$K$35)</f>
        <v>0</v>
      </c>
      <c r="M35" s="48"/>
      <c r="N35" s="53"/>
      <c r="O35" s="53"/>
      <c r="P35" s="157"/>
    </row>
    <row r="36" spans="1:16">
      <c r="A36" s="91" t="s">
        <v>105</v>
      </c>
      <c r="B36" s="91"/>
      <c r="D36" s="40" t="s">
        <v>96</v>
      </c>
      <c r="G36" s="80">
        <v>711200</v>
      </c>
      <c r="H36" s="80">
        <v>0</v>
      </c>
      <c r="I36" s="90">
        <v>63500</v>
      </c>
      <c r="J36" s="90">
        <v>58500</v>
      </c>
      <c r="K36" s="90">
        <v>37000</v>
      </c>
      <c r="L36" s="40">
        <f>SUM( $I$36:$K$36)</f>
        <v>159000</v>
      </c>
      <c r="N36" s="42" t="s">
        <v>102</v>
      </c>
    </row>
    <row r="37" spans="1:16">
      <c r="A37" s="91" t="s">
        <v>105</v>
      </c>
      <c r="B37" s="91"/>
      <c r="D37" s="40" t="s">
        <v>97</v>
      </c>
      <c r="G37" s="80">
        <v>711200</v>
      </c>
      <c r="H37" s="80">
        <v>0</v>
      </c>
      <c r="I37" s="90">
        <v>0</v>
      </c>
      <c r="J37" s="90">
        <v>1800</v>
      </c>
      <c r="K37" s="90">
        <v>1800</v>
      </c>
      <c r="L37" s="40">
        <f>SUM( $I$37:$K$37)</f>
        <v>3600</v>
      </c>
      <c r="N37" s="42" t="s">
        <v>102</v>
      </c>
    </row>
    <row r="38" spans="1:16">
      <c r="A38" s="91" t="s">
        <v>105</v>
      </c>
      <c r="B38" s="91"/>
      <c r="D38" s="40" t="s">
        <v>98</v>
      </c>
      <c r="G38" s="80">
        <v>717000</v>
      </c>
      <c r="H38" s="80">
        <v>0</v>
      </c>
      <c r="I38" s="90">
        <v>0</v>
      </c>
      <c r="J38" s="90">
        <v>0</v>
      </c>
      <c r="K38" s="90">
        <v>0</v>
      </c>
      <c r="L38" s="40">
        <f>SUM( $I$38:$K$38)</f>
        <v>0</v>
      </c>
      <c r="N38" s="42" t="s">
        <v>102</v>
      </c>
    </row>
    <row r="39" spans="1:16">
      <c r="A39" s="91" t="s">
        <v>105</v>
      </c>
      <c r="B39" s="92"/>
      <c r="D39" s="40" t="s">
        <v>99</v>
      </c>
      <c r="G39" s="80">
        <v>711200</v>
      </c>
      <c r="H39" s="80">
        <v>0</v>
      </c>
      <c r="I39" s="90">
        <v>0</v>
      </c>
      <c r="J39" s="90">
        <v>0</v>
      </c>
      <c r="K39" s="90">
        <v>0</v>
      </c>
      <c r="L39" s="40">
        <f>SUM( $I$39:$K$39)</f>
        <v>0</v>
      </c>
      <c r="N39" s="42" t="s">
        <v>102</v>
      </c>
    </row>
    <row r="40" spans="1:16">
      <c r="A40" s="84" t="s">
        <v>105</v>
      </c>
      <c r="B40" s="39"/>
      <c r="D40" s="40" t="s">
        <v>50</v>
      </c>
      <c r="G40" s="80"/>
      <c r="H40" s="80">
        <v>0</v>
      </c>
      <c r="I40" s="40">
        <v>0</v>
      </c>
      <c r="J40" s="40">
        <v>0</v>
      </c>
      <c r="K40" s="40">
        <v>0</v>
      </c>
      <c r="L40" s="40">
        <f>SUM( $I$40:$K$40)</f>
        <v>0</v>
      </c>
      <c r="N40" s="42" t="s">
        <v>102</v>
      </c>
    </row>
    <row r="41" spans="1:16">
      <c r="A41" s="84" t="s">
        <v>105</v>
      </c>
      <c r="B41" s="39"/>
      <c r="D41" s="40" t="s">
        <v>51</v>
      </c>
      <c r="G41" s="80"/>
      <c r="H41" s="80">
        <v>0</v>
      </c>
      <c r="I41" s="40">
        <v>0</v>
      </c>
      <c r="J41" s="40">
        <v>0</v>
      </c>
      <c r="K41" s="40">
        <v>0</v>
      </c>
      <c r="L41" s="40">
        <f>SUM( $I$41:$K$41)</f>
        <v>0</v>
      </c>
      <c r="N41" s="42" t="s">
        <v>106</v>
      </c>
    </row>
    <row r="42" spans="1:16">
      <c r="A42" s="82"/>
      <c r="B42" s="47"/>
      <c r="C42" s="48"/>
      <c r="D42" s="48" t="s">
        <v>49</v>
      </c>
      <c r="E42" s="49"/>
      <c r="F42" s="49"/>
      <c r="G42" s="83">
        <v>730001</v>
      </c>
      <c r="H42" s="83">
        <v>0</v>
      </c>
      <c r="I42" s="48">
        <f>SUM(I40:I41)</f>
        <v>0</v>
      </c>
      <c r="J42" s="48">
        <f>SUM(J40:J41)</f>
        <v>0</v>
      </c>
      <c r="K42" s="48">
        <f>SUM(K40:K41)</f>
        <v>0</v>
      </c>
      <c r="L42" s="48">
        <f>SUM( $I$42:$K$42)</f>
        <v>0</v>
      </c>
      <c r="M42" s="48"/>
      <c r="N42" s="53"/>
      <c r="O42" s="53"/>
      <c r="P42" s="157"/>
    </row>
    <row r="43" spans="1:16">
      <c r="A43" s="91" t="s">
        <v>105</v>
      </c>
      <c r="B43" s="92"/>
      <c r="D43" s="40" t="s">
        <v>5</v>
      </c>
      <c r="G43" s="80">
        <v>717200</v>
      </c>
      <c r="H43" s="80">
        <v>0</v>
      </c>
      <c r="I43" s="90">
        <v>0</v>
      </c>
      <c r="J43" s="90">
        <v>0</v>
      </c>
      <c r="K43" s="90">
        <v>0</v>
      </c>
      <c r="L43" s="40">
        <f>SUM( $I$43:$K$43)</f>
        <v>0</v>
      </c>
      <c r="N43" s="42" t="s">
        <v>102</v>
      </c>
    </row>
    <row r="44" spans="1:16">
      <c r="A44" s="91" t="s">
        <v>105</v>
      </c>
      <c r="B44" s="91"/>
      <c r="D44" s="40" t="s">
        <v>6</v>
      </c>
      <c r="G44" s="80">
        <v>722200</v>
      </c>
      <c r="H44" s="80">
        <v>0</v>
      </c>
      <c r="I44" s="90">
        <v>0</v>
      </c>
      <c r="J44" s="90">
        <v>0</v>
      </c>
      <c r="K44" s="90">
        <v>0</v>
      </c>
      <c r="L44" s="40">
        <f>SUM( $I$44:$K$44)</f>
        <v>0</v>
      </c>
      <c r="N44" s="42" t="s">
        <v>102</v>
      </c>
    </row>
    <row r="45" spans="1:16">
      <c r="A45" s="91" t="s">
        <v>105</v>
      </c>
      <c r="B45" s="91"/>
      <c r="D45" s="40" t="s">
        <v>52</v>
      </c>
      <c r="H45" s="80">
        <v>0</v>
      </c>
      <c r="I45" s="90">
        <v>0</v>
      </c>
      <c r="J45" s="90">
        <v>0</v>
      </c>
      <c r="K45" s="90">
        <v>0</v>
      </c>
      <c r="L45" s="40">
        <f>SUM( $I$45:$K$45)</f>
        <v>0</v>
      </c>
      <c r="N45" s="65" t="s">
        <v>102</v>
      </c>
    </row>
    <row r="46" spans="1:16">
      <c r="A46" s="91" t="s">
        <v>105</v>
      </c>
      <c r="B46" s="91"/>
      <c r="D46" s="40" t="s">
        <v>53</v>
      </c>
      <c r="H46" s="80">
        <v>0</v>
      </c>
      <c r="I46" s="90">
        <v>0</v>
      </c>
      <c r="J46" s="90">
        <v>0</v>
      </c>
      <c r="K46" s="90">
        <v>0</v>
      </c>
      <c r="L46" s="40">
        <f>SUM( $I$46:$K$46)</f>
        <v>0</v>
      </c>
      <c r="N46" s="42" t="s">
        <v>106</v>
      </c>
    </row>
    <row r="47" spans="1:16" ht="30.75" customHeight="1">
      <c r="A47" s="48"/>
      <c r="B47" s="48"/>
      <c r="C47" s="48"/>
      <c r="D47" s="48" t="s">
        <v>76</v>
      </c>
      <c r="E47" s="49"/>
      <c r="F47" s="49"/>
      <c r="G47" s="48"/>
      <c r="H47" s="48">
        <f>SUM(H31:H41,H43:H46)</f>
        <v>0</v>
      </c>
      <c r="I47" s="48">
        <f>SUM(I31:I41,I43:I46)</f>
        <v>94583.536321291496</v>
      </c>
      <c r="J47" s="48">
        <f>SUM(J31:J41,J43:J46)</f>
        <v>94816.042402625113</v>
      </c>
      <c r="K47" s="48">
        <f>SUM(K31:K41,K43:K46)</f>
        <v>97327.523666149587</v>
      </c>
      <c r="L47" s="48">
        <f>SUM( $I$47:$K$47)</f>
        <v>286727.1023900662</v>
      </c>
      <c r="M47" s="48"/>
      <c r="N47" s="53"/>
      <c r="O47" s="53"/>
      <c r="P47" s="157"/>
    </row>
    <row r="48" spans="1:16" s="108" customFormat="1" ht="15.75" customHeight="1">
      <c r="D48" s="108" t="s">
        <v>11</v>
      </c>
      <c r="E48" s="109"/>
      <c r="F48" s="109"/>
      <c r="H48" s="108">
        <f>SUMIF($N$10:$N$46,"Y",H10:H46)</f>
        <v>16855.555555555555</v>
      </c>
      <c r="I48" s="108">
        <f>SUMIF($N$10:$N$46,"Y",I10:I46)</f>
        <v>94583.536321291496</v>
      </c>
      <c r="J48" s="108">
        <f>SUMIF($N$10:$N$46,"Y",J10:J46)</f>
        <v>94816.042402625113</v>
      </c>
      <c r="K48" s="108">
        <f>SUMIF($N$10:$N$46,"Y",K10:K46)</f>
        <v>91871.523666149587</v>
      </c>
      <c r="L48" s="108">
        <f>SUM( $I$48:$K$48)</f>
        <v>281271.1023900662</v>
      </c>
      <c r="N48" s="109"/>
      <c r="O48" s="109"/>
      <c r="P48" s="162"/>
    </row>
    <row r="49" spans="1:16" ht="28" customHeight="1">
      <c r="C49" s="40" t="s">
        <v>77</v>
      </c>
      <c r="G49" s="80"/>
      <c r="H49" s="40">
        <f>H4*H48</f>
        <v>0</v>
      </c>
      <c r="I49" s="40">
        <f>I4*I48</f>
        <v>44927.179188851653</v>
      </c>
      <c r="J49" s="40">
        <f>J4*J48</f>
        <v>45037.619576099278</v>
      </c>
      <c r="K49" s="40">
        <f>K4*K48</f>
        <v>43638.973193824102</v>
      </c>
      <c r="L49" s="40">
        <f>SUM( $I$49:$K$49)</f>
        <v>133603.77195877503</v>
      </c>
    </row>
    <row r="50" spans="1:16" ht="32" customHeight="1">
      <c r="A50" s="48"/>
      <c r="B50" s="48"/>
      <c r="C50" s="48"/>
      <c r="D50" s="48" t="s">
        <v>12</v>
      </c>
      <c r="E50" s="49"/>
      <c r="F50" s="49"/>
      <c r="G50" s="48"/>
      <c r="H50" s="48">
        <f>SUM(H49+H47)</f>
        <v>0</v>
      </c>
      <c r="I50" s="48">
        <f>SUM(I49+I47)</f>
        <v>139510.71551014314</v>
      </c>
      <c r="J50" s="48">
        <f>SUM(J49+J47)</f>
        <v>139853.66197872438</v>
      </c>
      <c r="K50" s="48">
        <f>SUM(K49+K47)</f>
        <v>140966.4968599737</v>
      </c>
      <c r="L50" s="48">
        <f>SUM( $I$50:$K$50)</f>
        <v>420330.8743488412</v>
      </c>
      <c r="M50" s="48"/>
      <c r="N50" s="53"/>
      <c r="O50" s="53"/>
      <c r="P50" s="157"/>
    </row>
    <row r="51" spans="1:16" ht="29" customHeight="1">
      <c r="C51" s="40" t="s">
        <v>14</v>
      </c>
      <c r="E51" s="80"/>
      <c r="F51" s="80"/>
      <c r="L51" s="40">
        <f>SUM( $I$51:$K$51)</f>
        <v>0</v>
      </c>
    </row>
    <row r="52" spans="1:16">
      <c r="C52" s="40" t="s">
        <v>13</v>
      </c>
      <c r="L52" s="40">
        <f>SUM( $I$52:$K$52)</f>
        <v>0</v>
      </c>
    </row>
    <row r="53" spans="1:16" ht="29" customHeight="1">
      <c r="A53" s="48"/>
      <c r="B53" s="48"/>
      <c r="C53" s="48"/>
      <c r="D53" s="48" t="s">
        <v>78</v>
      </c>
      <c r="E53" s="49"/>
      <c r="F53" s="49"/>
      <c r="G53" s="48"/>
      <c r="H53" s="48">
        <f>SUM(H52+H51+H50)</f>
        <v>0</v>
      </c>
      <c r="I53" s="48">
        <f>SUM(I52+I51+I50)</f>
        <v>139510.71551014314</v>
      </c>
      <c r="J53" s="48">
        <f>SUM(J52+J51+J50)</f>
        <v>139853.66197872438</v>
      </c>
      <c r="K53" s="48">
        <f>SUM(K52+K51+K50)</f>
        <v>140966.4968599737</v>
      </c>
      <c r="L53" s="48">
        <f>SUM( $I$53:$K$53)</f>
        <v>420330.8743488412</v>
      </c>
      <c r="M53" s="48"/>
      <c r="N53" s="53"/>
      <c r="O53" s="53"/>
      <c r="P53" s="157"/>
    </row>
    <row r="59" spans="1:16">
      <c r="A59" s="64"/>
      <c r="B59" s="64"/>
      <c r="C59" s="64"/>
      <c r="D59" s="64"/>
    </row>
  </sheetData>
  <sheetProtection algorithmName="SHA-512" hashValue="3nUzbU97w+iX+vsHWGSTiKwGT3NecLeBfI+PwCNOjRKnTIam53BXviXa4ljhynB5TX2qbpO5ydiqTYGt6B6gDQ==" saltValue="/bjfP3ieNuF5j5PvfJF/8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N10:N53">
      <formula1>InBaseList</formula1>
    </dataValidation>
    <dataValidation type="list" allowBlank="1" showInputMessage="1" showErrorMessage="1" sqref="O10:O28">
      <formula1>FBRateTypeList</formula1>
    </dataValidation>
  </dataValidations>
  <pageMargins left="0.5" right="0.26" top="1" bottom="1" header="0.5" footer="0.5"/>
  <pageSetup scale="64" orientation="portrait" horizontalDpi="2400" verticalDpi="2400"/>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190500</xdr:colOff>
                    <xdr:row>30</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190500</xdr:colOff>
                    <xdr:row>30</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O46"/>
  <sheetViews>
    <sheetView workbookViewId="0">
      <selection activeCell="A4" sqref="A4"/>
    </sheetView>
  </sheetViews>
  <sheetFormatPr baseColWidth="10" defaultColWidth="11.42578125" defaultRowHeight="12" x14ac:dyDescent="0"/>
  <cols>
    <col min="1" max="1" width="29" style="116" customWidth="1"/>
    <col min="2" max="5" width="11.42578125" style="116" customWidth="1"/>
    <col min="6" max="6" width="1.5703125" style="117" customWidth="1"/>
    <col min="7" max="7" width="3.85546875" style="118" bestFit="1" customWidth="1"/>
    <col min="8" max="16384" width="11.42578125" style="116"/>
  </cols>
  <sheetData>
    <row r="1" spans="1:15">
      <c r="A1" s="115" t="str">
        <f>VersionNo</f>
        <v>PropBud v1.14</v>
      </c>
    </row>
    <row r="2" spans="1:15" s="64" customFormat="1" ht="23" customHeight="1">
      <c r="A2" s="51" t="s">
        <v>33</v>
      </c>
      <c r="B2" s="52">
        <v>0.47499999403953552</v>
      </c>
      <c r="C2" s="52">
        <v>0.47499999403953552</v>
      </c>
      <c r="D2" s="52">
        <v>0.47499999403953552</v>
      </c>
      <c r="E2" s="47"/>
      <c r="F2" s="48"/>
      <c r="G2" s="49"/>
      <c r="H2" s="119"/>
      <c r="J2" s="120"/>
      <c r="K2" s="121"/>
      <c r="L2" s="121"/>
      <c r="N2" s="122"/>
      <c r="O2" s="122"/>
    </row>
    <row r="3" spans="1:15" s="128" customFormat="1">
      <c r="A3" s="123" t="s">
        <v>141</v>
      </c>
      <c r="B3" s="124" t="s">
        <v>100</v>
      </c>
      <c r="C3" s="124" t="s">
        <v>193</v>
      </c>
      <c r="D3" s="124" t="s">
        <v>194</v>
      </c>
      <c r="E3" s="124" t="s">
        <v>59</v>
      </c>
      <c r="F3" s="125"/>
      <c r="G3" s="126" t="s">
        <v>28</v>
      </c>
      <c r="H3" s="127"/>
    </row>
    <row r="4" spans="1:15">
      <c r="A4" s="35" t="s">
        <v>82</v>
      </c>
      <c r="B4" s="36">
        <v>0</v>
      </c>
      <c r="C4" s="36">
        <v>0</v>
      </c>
      <c r="D4" s="36">
        <v>0</v>
      </c>
      <c r="E4" s="129">
        <f>SUM( $B$4:$D$4)</f>
        <v>0</v>
      </c>
      <c r="F4" s="151"/>
      <c r="G4" s="152" t="s">
        <v>3</v>
      </c>
    </row>
    <row r="5" spans="1:15">
      <c r="A5" s="35" t="s">
        <v>83</v>
      </c>
      <c r="B5" s="36">
        <v>0</v>
      </c>
      <c r="C5" s="36">
        <v>0</v>
      </c>
      <c r="D5" s="36">
        <v>0</v>
      </c>
      <c r="E5" s="129">
        <f>SUM( $B$5:$D$5)</f>
        <v>0</v>
      </c>
      <c r="F5" s="151"/>
      <c r="G5" s="152" t="s">
        <v>3</v>
      </c>
    </row>
    <row r="6" spans="1:15">
      <c r="A6" s="35" t="s">
        <v>84</v>
      </c>
      <c r="B6" s="36">
        <v>0</v>
      </c>
      <c r="C6" s="36">
        <v>0</v>
      </c>
      <c r="D6" s="36">
        <v>0</v>
      </c>
      <c r="E6" s="129">
        <f>SUM( $B$6:$D$6)</f>
        <v>0</v>
      </c>
      <c r="F6" s="151"/>
      <c r="G6" s="152" t="s">
        <v>3</v>
      </c>
    </row>
    <row r="7" spans="1:15">
      <c r="A7" s="35" t="s">
        <v>85</v>
      </c>
      <c r="B7" s="36">
        <v>0</v>
      </c>
      <c r="C7" s="36">
        <v>0</v>
      </c>
      <c r="D7" s="36">
        <v>0</v>
      </c>
      <c r="E7" s="129">
        <f>SUM( $B$7:$D$7)</f>
        <v>0</v>
      </c>
      <c r="F7" s="151"/>
      <c r="G7" s="152" t="s">
        <v>3</v>
      </c>
    </row>
    <row r="8" spans="1:15">
      <c r="A8" s="35" t="s">
        <v>86</v>
      </c>
      <c r="B8" s="36">
        <v>0</v>
      </c>
      <c r="C8" s="36">
        <v>0</v>
      </c>
      <c r="D8" s="36">
        <v>0</v>
      </c>
      <c r="E8" s="129">
        <f>SUM( $B$8:$D$8)</f>
        <v>0</v>
      </c>
      <c r="F8" s="151"/>
      <c r="G8" s="152" t="s">
        <v>3</v>
      </c>
    </row>
    <row r="9" spans="1:15">
      <c r="A9" s="35" t="s">
        <v>160</v>
      </c>
      <c r="B9" s="36">
        <v>0</v>
      </c>
      <c r="C9" s="36">
        <v>0</v>
      </c>
      <c r="D9" s="36">
        <v>0</v>
      </c>
      <c r="E9" s="129">
        <f>SUM( $B$9:$D$9)</f>
        <v>0</v>
      </c>
      <c r="F9" s="151"/>
      <c r="G9" s="152" t="s">
        <v>3</v>
      </c>
    </row>
    <row r="10" spans="1:15">
      <c r="A10" s="35" t="s">
        <v>161</v>
      </c>
      <c r="B10" s="36">
        <v>0</v>
      </c>
      <c r="C10" s="36">
        <v>0</v>
      </c>
      <c r="D10" s="36">
        <v>0</v>
      </c>
      <c r="E10" s="129">
        <f>SUM( $B$10:$D$10)</f>
        <v>0</v>
      </c>
      <c r="F10" s="151"/>
      <c r="G10" s="152" t="s">
        <v>3</v>
      </c>
    </row>
    <row r="11" spans="1:15">
      <c r="A11" s="35" t="s">
        <v>162</v>
      </c>
      <c r="B11" s="36">
        <v>0</v>
      </c>
      <c r="C11" s="36">
        <v>0</v>
      </c>
      <c r="D11" s="36">
        <v>0</v>
      </c>
      <c r="E11" s="129">
        <f>SUM( $B$11:$D$11)</f>
        <v>0</v>
      </c>
      <c r="F11" s="153"/>
      <c r="G11" s="152" t="s">
        <v>3</v>
      </c>
    </row>
    <row r="12" spans="1:15">
      <c r="A12" s="35" t="s">
        <v>0</v>
      </c>
      <c r="B12" s="36">
        <v>0</v>
      </c>
      <c r="C12" s="36">
        <v>0</v>
      </c>
      <c r="D12" s="36">
        <v>0</v>
      </c>
      <c r="E12" s="129">
        <f>SUM( $B$12:$D$12)</f>
        <v>0</v>
      </c>
      <c r="F12" s="153"/>
      <c r="G12" s="152" t="s">
        <v>3</v>
      </c>
    </row>
    <row r="13" spans="1:15">
      <c r="A13" s="35" t="s">
        <v>1</v>
      </c>
      <c r="B13" s="37">
        <v>0</v>
      </c>
      <c r="C13" s="37">
        <v>0</v>
      </c>
      <c r="D13" s="37">
        <v>0</v>
      </c>
      <c r="E13" s="129">
        <f>SUM( $B$13:$D$13)</f>
        <v>0</v>
      </c>
      <c r="F13" s="153"/>
      <c r="G13" s="152" t="s">
        <v>3</v>
      </c>
    </row>
    <row r="14" spans="1:15">
      <c r="A14" s="133" t="s">
        <v>76</v>
      </c>
      <c r="B14" s="134">
        <f>SUM(B4:B13)</f>
        <v>0</v>
      </c>
      <c r="C14" s="134">
        <f>SUM(C4:C13)</f>
        <v>0</v>
      </c>
      <c r="D14" s="134">
        <f>SUM(D4:D13)</f>
        <v>0</v>
      </c>
      <c r="E14" s="134">
        <f>SUM( $B$14:$D$14)</f>
        <v>0</v>
      </c>
      <c r="F14" s="135"/>
      <c r="G14" s="126"/>
    </row>
    <row r="15" spans="1:15" s="128" customFormat="1" ht="37" customHeight="1">
      <c r="A15" s="136"/>
      <c r="B15" s="127"/>
      <c r="C15" s="127"/>
      <c r="D15" s="127"/>
      <c r="E15" s="127"/>
      <c r="F15" s="62"/>
      <c r="G15" s="137"/>
    </row>
    <row r="16" spans="1:15">
      <c r="A16" s="138" t="s">
        <v>91</v>
      </c>
      <c r="B16" s="124"/>
      <c r="C16" s="124"/>
      <c r="D16" s="124"/>
      <c r="E16" s="124" t="str">
        <f>E3</f>
        <v>Total</v>
      </c>
      <c r="F16" s="135"/>
      <c r="G16" s="126"/>
    </row>
    <row r="17" spans="1:8">
      <c r="A17" s="139" t="str">
        <f t="shared" ref="A17:A26" si="0">A4</f>
        <v>Sub #1</v>
      </c>
      <c r="B17" s="129">
        <v>0</v>
      </c>
      <c r="C17" s="129">
        <v>0</v>
      </c>
      <c r="D17" s="129">
        <v>0</v>
      </c>
      <c r="E17" s="129">
        <f>SUM( $B$17:$D$17)</f>
        <v>0</v>
      </c>
      <c r="F17" s="132"/>
      <c r="G17" s="131"/>
    </row>
    <row r="18" spans="1:8">
      <c r="A18" s="140" t="str">
        <f t="shared" si="0"/>
        <v>Sub #2</v>
      </c>
      <c r="B18" s="129">
        <v>0</v>
      </c>
      <c r="C18" s="129">
        <v>0</v>
      </c>
      <c r="D18" s="129">
        <v>0</v>
      </c>
      <c r="E18" s="129">
        <f>SUM( $B$18:$D$18)</f>
        <v>0</v>
      </c>
      <c r="F18" s="132"/>
      <c r="G18" s="131"/>
    </row>
    <row r="19" spans="1:8">
      <c r="A19" s="140" t="str">
        <f t="shared" si="0"/>
        <v>Sub #3</v>
      </c>
      <c r="B19" s="129">
        <v>0</v>
      </c>
      <c r="C19" s="129">
        <v>0</v>
      </c>
      <c r="D19" s="129">
        <v>0</v>
      </c>
      <c r="E19" s="129">
        <f>SUM( $B$19:$D$19)</f>
        <v>0</v>
      </c>
      <c r="F19" s="132"/>
      <c r="G19" s="131"/>
    </row>
    <row r="20" spans="1:8">
      <c r="A20" s="140" t="str">
        <f t="shared" si="0"/>
        <v>Sub #4</v>
      </c>
      <c r="B20" s="129">
        <v>0</v>
      </c>
      <c r="C20" s="129">
        <v>0</v>
      </c>
      <c r="D20" s="129">
        <v>0</v>
      </c>
      <c r="E20" s="129">
        <f>SUM( $B$20:$D$20)</f>
        <v>0</v>
      </c>
      <c r="F20" s="130"/>
      <c r="G20" s="131"/>
    </row>
    <row r="21" spans="1:8">
      <c r="A21" s="140" t="str">
        <f t="shared" si="0"/>
        <v>Sub #5</v>
      </c>
      <c r="B21" s="129">
        <v>0</v>
      </c>
      <c r="C21" s="129">
        <v>0</v>
      </c>
      <c r="D21" s="129">
        <v>0</v>
      </c>
      <c r="E21" s="129">
        <f>SUM( $B$21:$D$21)</f>
        <v>0</v>
      </c>
      <c r="F21" s="130"/>
      <c r="G21" s="131"/>
    </row>
    <row r="22" spans="1:8">
      <c r="A22" s="140" t="str">
        <f t="shared" si="0"/>
        <v>Sub #6</v>
      </c>
      <c r="B22" s="129">
        <v>0</v>
      </c>
      <c r="C22" s="129">
        <v>0</v>
      </c>
      <c r="D22" s="129">
        <v>0</v>
      </c>
      <c r="E22" s="129">
        <f>SUM( $B$22:$D$22)</f>
        <v>0</v>
      </c>
      <c r="F22" s="130"/>
      <c r="G22" s="131"/>
    </row>
    <row r="23" spans="1:8">
      <c r="A23" s="140" t="str">
        <f t="shared" si="0"/>
        <v>Sub #7</v>
      </c>
      <c r="B23" s="129">
        <v>0</v>
      </c>
      <c r="C23" s="129">
        <v>0</v>
      </c>
      <c r="D23" s="129">
        <v>0</v>
      </c>
      <c r="E23" s="129">
        <f>SUM( $B$23:$D$23)</f>
        <v>0</v>
      </c>
      <c r="F23" s="130"/>
      <c r="G23" s="131"/>
    </row>
    <row r="24" spans="1:8">
      <c r="A24" s="140" t="str">
        <f t="shared" si="0"/>
        <v>Sub #8</v>
      </c>
      <c r="B24" s="129">
        <v>0</v>
      </c>
      <c r="C24" s="129">
        <v>0</v>
      </c>
      <c r="D24" s="129">
        <v>0</v>
      </c>
      <c r="E24" s="129">
        <f>SUM( $B$24:$D$24)</f>
        <v>0</v>
      </c>
      <c r="F24" s="130"/>
      <c r="G24" s="131"/>
    </row>
    <row r="25" spans="1:8">
      <c r="A25" s="140" t="str">
        <f t="shared" si="0"/>
        <v>Sub #9</v>
      </c>
      <c r="B25" s="129">
        <v>0</v>
      </c>
      <c r="C25" s="129">
        <v>0</v>
      </c>
      <c r="D25" s="129">
        <v>0</v>
      </c>
      <c r="E25" s="129">
        <f>SUM( $B$25:$D$25)</f>
        <v>0</v>
      </c>
      <c r="F25" s="130"/>
      <c r="G25" s="131"/>
    </row>
    <row r="26" spans="1:8">
      <c r="A26" s="141" t="str">
        <f t="shared" si="0"/>
        <v>Sub #10</v>
      </c>
      <c r="B26" s="129">
        <v>0</v>
      </c>
      <c r="C26" s="129">
        <v>0</v>
      </c>
      <c r="D26" s="129">
        <v>0</v>
      </c>
      <c r="E26" s="129">
        <f>SUM( $B$26:$D$26)</f>
        <v>0</v>
      </c>
      <c r="F26" s="130"/>
      <c r="G26" s="131"/>
    </row>
    <row r="27" spans="1:8">
      <c r="A27" s="142" t="s">
        <v>92</v>
      </c>
      <c r="B27" s="133">
        <f>SUM(B17:B26)</f>
        <v>0</v>
      </c>
      <c r="C27" s="133">
        <f>SUM(C17:C26)</f>
        <v>0</v>
      </c>
      <c r="D27" s="133">
        <f>SUM(D17:D26)</f>
        <v>0</v>
      </c>
      <c r="E27" s="134">
        <f>SUM( $B$27:$D$27)</f>
        <v>0</v>
      </c>
      <c r="F27" s="125"/>
      <c r="G27" s="126"/>
      <c r="H27" s="143"/>
    </row>
    <row r="28" spans="1:8">
      <c r="A28" s="127"/>
    </row>
    <row r="29" spans="1:8">
      <c r="A29" s="127"/>
    </row>
    <row r="30" spans="1:8">
      <c r="A30" s="140" t="s">
        <v>93</v>
      </c>
      <c r="B30" s="144">
        <v>0</v>
      </c>
      <c r="C30" s="144">
        <v>0</v>
      </c>
      <c r="D30" s="144">
        <v>0</v>
      </c>
      <c r="E30" s="129">
        <f>SUM( $B$30:$D$30)</f>
        <v>0</v>
      </c>
      <c r="F30" s="130"/>
      <c r="G30" s="145"/>
      <c r="H30" s="146"/>
    </row>
    <row r="31" spans="1:8">
      <c r="A31" s="140" t="s">
        <v>94</v>
      </c>
      <c r="B31" s="147">
        <v>0</v>
      </c>
      <c r="C31" s="147">
        <v>0</v>
      </c>
      <c r="D31" s="147">
        <v>0</v>
      </c>
      <c r="E31" s="129">
        <f>SUM( $B$31:$D$31)</f>
        <v>0</v>
      </c>
      <c r="F31" s="130"/>
      <c r="G31" s="131"/>
      <c r="H31" s="148"/>
    </row>
    <row r="32" spans="1:8">
      <c r="A32" s="149"/>
      <c r="B32" s="150"/>
      <c r="C32" s="150"/>
      <c r="D32" s="150"/>
    </row>
    <row r="33" spans="1:8" hidden="1"/>
    <row r="34" spans="1:8" hidden="1">
      <c r="A34" s="138" t="s">
        <v>156</v>
      </c>
      <c r="B34" s="124"/>
      <c r="C34" s="124"/>
      <c r="D34" s="124"/>
      <c r="E34" s="124" t="s">
        <v>59</v>
      </c>
      <c r="F34" s="135"/>
      <c r="G34" s="126"/>
    </row>
    <row r="35" spans="1:8" hidden="1">
      <c r="A35" s="139" t="str">
        <f>A4</f>
        <v>Sub #1</v>
      </c>
      <c r="B35" s="129">
        <v>0</v>
      </c>
      <c r="C35" s="129"/>
      <c r="D35" s="129"/>
      <c r="E35" s="129">
        <f>SUM(B35)</f>
        <v>0</v>
      </c>
      <c r="F35" s="132"/>
      <c r="G35" s="131"/>
    </row>
    <row r="36" spans="1:8" hidden="1">
      <c r="A36" s="140" t="str">
        <f t="shared" ref="A36:A44" si="1">A5</f>
        <v>Sub #2</v>
      </c>
      <c r="B36" s="129">
        <v>0</v>
      </c>
      <c r="C36" s="129"/>
      <c r="D36" s="129"/>
      <c r="E36" s="129">
        <f t="shared" ref="E36:E44" si="2">SUM(B36)</f>
        <v>0</v>
      </c>
      <c r="F36" s="132"/>
      <c r="G36" s="131"/>
    </row>
    <row r="37" spans="1:8" hidden="1">
      <c r="A37" s="140" t="str">
        <f t="shared" si="1"/>
        <v>Sub #3</v>
      </c>
      <c r="B37" s="129">
        <v>0</v>
      </c>
      <c r="C37" s="129"/>
      <c r="D37" s="129"/>
      <c r="E37" s="129">
        <f t="shared" si="2"/>
        <v>0</v>
      </c>
      <c r="F37" s="132"/>
      <c r="G37" s="131"/>
    </row>
    <row r="38" spans="1:8" hidden="1">
      <c r="A38" s="140" t="str">
        <f t="shared" si="1"/>
        <v>Sub #4</v>
      </c>
      <c r="B38" s="129">
        <v>0</v>
      </c>
      <c r="C38" s="129"/>
      <c r="D38" s="129"/>
      <c r="E38" s="129">
        <f t="shared" si="2"/>
        <v>0</v>
      </c>
      <c r="F38" s="130"/>
      <c r="G38" s="131"/>
    </row>
    <row r="39" spans="1:8" hidden="1">
      <c r="A39" s="140" t="str">
        <f t="shared" si="1"/>
        <v>Sub #5</v>
      </c>
      <c r="B39" s="129">
        <v>0</v>
      </c>
      <c r="C39" s="129"/>
      <c r="D39" s="129"/>
      <c r="E39" s="129">
        <f t="shared" si="2"/>
        <v>0</v>
      </c>
      <c r="F39" s="130"/>
      <c r="G39" s="131"/>
    </row>
    <row r="40" spans="1:8" hidden="1">
      <c r="A40" s="140" t="str">
        <f t="shared" si="1"/>
        <v>Sub #6</v>
      </c>
      <c r="B40" s="129">
        <v>0</v>
      </c>
      <c r="C40" s="129"/>
      <c r="D40" s="129"/>
      <c r="E40" s="129">
        <f t="shared" si="2"/>
        <v>0</v>
      </c>
      <c r="F40" s="130"/>
      <c r="G40" s="131"/>
    </row>
    <row r="41" spans="1:8" hidden="1">
      <c r="A41" s="140" t="str">
        <f t="shared" si="1"/>
        <v>Sub #7</v>
      </c>
      <c r="B41" s="129">
        <v>0</v>
      </c>
      <c r="C41" s="129"/>
      <c r="D41" s="129"/>
      <c r="E41" s="129">
        <f t="shared" si="2"/>
        <v>0</v>
      </c>
      <c r="F41" s="130"/>
      <c r="G41" s="131"/>
    </row>
    <row r="42" spans="1:8" hidden="1">
      <c r="A42" s="140" t="str">
        <f t="shared" si="1"/>
        <v>Sub #8</v>
      </c>
      <c r="B42" s="129">
        <v>0</v>
      </c>
      <c r="C42" s="129"/>
      <c r="D42" s="129"/>
      <c r="E42" s="129">
        <f t="shared" si="2"/>
        <v>0</v>
      </c>
      <c r="F42" s="130"/>
      <c r="G42" s="131"/>
    </row>
    <row r="43" spans="1:8" hidden="1">
      <c r="A43" s="140" t="str">
        <f t="shared" si="1"/>
        <v>Sub #9</v>
      </c>
      <c r="B43" s="129">
        <v>0</v>
      </c>
      <c r="C43" s="129"/>
      <c r="D43" s="129"/>
      <c r="E43" s="129">
        <f t="shared" si="2"/>
        <v>0</v>
      </c>
      <c r="F43" s="130"/>
      <c r="G43" s="131"/>
    </row>
    <row r="44" spans="1:8" hidden="1">
      <c r="A44" s="141" t="str">
        <f t="shared" si="1"/>
        <v>Sub #10</v>
      </c>
      <c r="B44" s="129">
        <v>0</v>
      </c>
      <c r="C44" s="129"/>
      <c r="D44" s="129"/>
      <c r="E44" s="129">
        <f t="shared" si="2"/>
        <v>0</v>
      </c>
      <c r="F44" s="130"/>
      <c r="G44" s="131"/>
    </row>
    <row r="45" spans="1:8" hidden="1">
      <c r="A45" s="142" t="s">
        <v>157</v>
      </c>
      <c r="B45" s="133">
        <f>SUM(B35:B44)</f>
        <v>0</v>
      </c>
      <c r="C45" s="133"/>
      <c r="D45" s="133"/>
      <c r="E45" s="134">
        <f>SUM(B45)</f>
        <v>0</v>
      </c>
      <c r="F45" s="125"/>
      <c r="G45" s="126"/>
      <c r="H45" s="143"/>
    </row>
    <row r="46" spans="1:8" hidden="1"/>
  </sheetData>
  <sheetProtection algorithmName="SHA-512" hashValue="1GMNwFNuNz7RVljzzJpsPWa97fV+xV75MYwext5gDmXB9bZiZ1AJbRS5mi3PQ3WbNaEAIpa+bnN3Y40698jMSA==" saltValue="rftZKJIuOMCQG36V0rnyzw==" spinCount="100000"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1460500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O53"/>
  <sheetViews>
    <sheetView topLeftCell="A35" workbookViewId="0">
      <selection activeCell="A51" sqref="A51:O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c r="B41" s="39"/>
      <c r="C41" s="40"/>
      <c r="D41" s="40" t="s">
        <v>51</v>
      </c>
      <c r="E41" s="41"/>
      <c r="F41" s="41"/>
      <c r="G41" s="80"/>
      <c r="H41" s="80">
        <v>0</v>
      </c>
      <c r="I41" s="40">
        <v>0</v>
      </c>
      <c r="J41" s="40">
        <v>0</v>
      </c>
      <c r="K41" s="40">
        <v>0</v>
      </c>
      <c r="L41" s="40">
        <f>SUM( $I$41:$K$41)</f>
        <v>0</v>
      </c>
      <c r="M41" s="40"/>
      <c r="N41" s="42" t="s">
        <v>106</v>
      </c>
      <c r="O41" s="42"/>
    </row>
    <row r="42" spans="2:15">
      <c r="B42" s="47"/>
      <c r="C42" s="48"/>
      <c r="D42" s="48" t="s">
        <v>49</v>
      </c>
      <c r="E42" s="49"/>
      <c r="F42" s="49"/>
      <c r="G42" s="83">
        <v>730001</v>
      </c>
      <c r="H42" s="83">
        <v>0</v>
      </c>
      <c r="I42" s="48">
        <f>SUM(I40:I41)</f>
        <v>0</v>
      </c>
      <c r="J42" s="48">
        <f>SUM(J40:J41)</f>
        <v>0</v>
      </c>
      <c r="K42" s="48">
        <f>SUM(K40:K41)</f>
        <v>0</v>
      </c>
      <c r="L42" s="48">
        <f>SUM( $I$42:$K$42)</f>
        <v>0</v>
      </c>
      <c r="M42" s="48"/>
      <c r="N42" s="53"/>
      <c r="O42" s="53"/>
    </row>
    <row r="43" spans="2:15">
      <c r="B43" s="92"/>
      <c r="C43" s="40"/>
      <c r="D43" s="40" t="s">
        <v>5</v>
      </c>
      <c r="E43" s="41"/>
      <c r="F43" s="41"/>
      <c r="G43" s="80">
        <v>717200</v>
      </c>
      <c r="H43" s="80">
        <v>0</v>
      </c>
      <c r="I43" s="90">
        <v>0</v>
      </c>
      <c r="J43" s="90">
        <v>0</v>
      </c>
      <c r="K43" s="90">
        <v>0</v>
      </c>
      <c r="L43" s="40">
        <f>SUM( $I$43:$K$43)</f>
        <v>0</v>
      </c>
      <c r="M43" s="40"/>
      <c r="N43" s="42" t="s">
        <v>102</v>
      </c>
      <c r="O43" s="42"/>
    </row>
    <row r="44" spans="2:15">
      <c r="B44" s="91"/>
      <c r="C44" s="40"/>
      <c r="D44" s="40" t="s">
        <v>6</v>
      </c>
      <c r="E44" s="41"/>
      <c r="F44" s="41"/>
      <c r="G44" s="80">
        <v>722200</v>
      </c>
      <c r="H44" s="80">
        <v>0</v>
      </c>
      <c r="I44" s="90">
        <v>0</v>
      </c>
      <c r="J44" s="90">
        <v>0</v>
      </c>
      <c r="K44" s="90">
        <v>0</v>
      </c>
      <c r="L44" s="40">
        <f>SUM( $I$44:$K$44)</f>
        <v>0</v>
      </c>
      <c r="M44" s="40"/>
      <c r="N44" s="42" t="s">
        <v>102</v>
      </c>
      <c r="O44" s="42"/>
    </row>
    <row r="45" spans="2:15">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1:15">
      <c r="B49" s="40"/>
      <c r="C49" s="40" t="s">
        <v>77</v>
      </c>
      <c r="D49" s="40"/>
      <c r="E49" s="41"/>
      <c r="F49" s="41"/>
      <c r="G49" s="80"/>
      <c r="H49" s="40">
        <f>H4*H48</f>
        <v>0</v>
      </c>
      <c r="I49" s="40">
        <f>I4*I48</f>
        <v>0</v>
      </c>
      <c r="J49" s="40">
        <f>J4*J48</f>
        <v>0</v>
      </c>
      <c r="K49" s="40">
        <f>K4*K48</f>
        <v>0</v>
      </c>
      <c r="L49" s="40">
        <f>SUM( $I$49:$K$49)</f>
        <v>0</v>
      </c>
      <c r="M49" s="40"/>
      <c r="N49" s="42"/>
      <c r="O49" s="42"/>
    </row>
    <row r="50" spans="1:15">
      <c r="B50" s="48"/>
      <c r="C50" s="48"/>
      <c r="D50" s="48" t="s">
        <v>195</v>
      </c>
      <c r="E50" s="49"/>
      <c r="F50" s="49"/>
      <c r="G50" s="48"/>
      <c r="H50" s="48">
        <f>SUM(H49+H47)</f>
        <v>0</v>
      </c>
      <c r="I50" s="48">
        <f>SUM(I49+I47)</f>
        <v>0</v>
      </c>
      <c r="J50" s="48">
        <f>SUM(J49+J47)</f>
        <v>0</v>
      </c>
      <c r="K50" s="48">
        <f>SUM(K49+K47)</f>
        <v>0</v>
      </c>
      <c r="L50" s="48">
        <f>SUM( $I$50:$K$50)</f>
        <v>0</v>
      </c>
      <c r="M50" s="48"/>
      <c r="N50" s="53"/>
      <c r="O50" s="53"/>
    </row>
    <row r="51" spans="1:15">
      <c r="A51" s="12"/>
      <c r="B51" s="27"/>
      <c r="C51" s="12" t="s">
        <v>79</v>
      </c>
      <c r="D51" s="12"/>
      <c r="E51" s="12"/>
      <c r="F51" s="12"/>
      <c r="G51" s="12"/>
      <c r="H51" s="12"/>
      <c r="I51" s="90">
        <v>0</v>
      </c>
      <c r="J51" s="90">
        <v>0</v>
      </c>
      <c r="K51" s="90">
        <v>0</v>
      </c>
      <c r="L51" s="40">
        <f>SUM( I51:K51)</f>
        <v>0</v>
      </c>
      <c r="M51" s="12"/>
      <c r="N51" s="12"/>
      <c r="O51" s="12"/>
    </row>
    <row r="52" spans="1:15">
      <c r="A52" s="12"/>
      <c r="B52" s="27"/>
      <c r="C52" s="12" t="s">
        <v>80</v>
      </c>
      <c r="D52" s="12"/>
      <c r="E52" s="12"/>
      <c r="F52" s="12"/>
      <c r="G52" s="12"/>
      <c r="H52" s="12"/>
      <c r="I52" s="90">
        <v>0</v>
      </c>
      <c r="J52" s="90">
        <v>0</v>
      </c>
      <c r="K52" s="90">
        <v>0</v>
      </c>
      <c r="L52" s="40">
        <f>SUM( I52:K52)</f>
        <v>0</v>
      </c>
      <c r="M52" s="12"/>
      <c r="N52" s="12"/>
      <c r="O52" s="12"/>
    </row>
    <row r="53" spans="1:15">
      <c r="A53" s="87"/>
      <c r="B53" s="86"/>
      <c r="C53" s="85"/>
      <c r="D53" s="85" t="s">
        <v>81</v>
      </c>
      <c r="E53" s="85"/>
      <c r="F53" s="85"/>
      <c r="G53" s="85"/>
      <c r="H53" s="85"/>
      <c r="I53" s="48">
        <f>SUM(I50:I52)</f>
        <v>0</v>
      </c>
      <c r="J53" s="48">
        <f>SUM(J50:J52)</f>
        <v>0</v>
      </c>
      <c r="K53" s="48">
        <f>SUM(K50:K52)</f>
        <v>0</v>
      </c>
      <c r="L53" s="48">
        <f>SUM( I53:K53)</f>
        <v>0</v>
      </c>
      <c r="M53" s="85"/>
      <c r="N53" s="85"/>
      <c r="O53" s="85"/>
    </row>
  </sheetData>
  <sheetProtection algorithmName="SHA-512" hashValue="5ooCT1bVInTLk4F2YwsMWvxRlZPfbpaICdTmnKvZ/qzZdtN0CTan5w76GuAVsHVOCmXTbdhPjeDDqd4wLob8JA==" saltValue="1XnagIlSnn6eTFvct5mx4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O50"/>
  <sheetViews>
    <sheetView workbookViewId="0">
      <selection activeCell="B2" sqref="B2:O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ht="23" customHeight="1">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ht="21.75" customHeight="1">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26.25" customHeight="1">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ht="30.75" customHeight="1">
      <c r="B41" s="39"/>
      <c r="C41" s="40"/>
      <c r="D41" s="40" t="s">
        <v>51</v>
      </c>
      <c r="E41" s="41"/>
      <c r="F41" s="41"/>
      <c r="G41" s="80"/>
      <c r="H41" s="80">
        <v>0</v>
      </c>
      <c r="I41" s="40">
        <v>0</v>
      </c>
      <c r="J41" s="40">
        <v>0</v>
      </c>
      <c r="K41" s="40">
        <v>0</v>
      </c>
      <c r="L41" s="40">
        <f>SUM( $I$41:$K$41)</f>
        <v>0</v>
      </c>
      <c r="M41" s="40"/>
      <c r="N41" s="42" t="s">
        <v>106</v>
      </c>
      <c r="O41" s="42"/>
    </row>
    <row r="42" spans="2:15" ht="29" customHeight="1">
      <c r="B42" s="47"/>
      <c r="C42" s="48"/>
      <c r="D42" s="48" t="s">
        <v>49</v>
      </c>
      <c r="E42" s="49"/>
      <c r="F42" s="49"/>
      <c r="G42" s="83">
        <v>730001</v>
      </c>
      <c r="H42" s="83">
        <v>0</v>
      </c>
      <c r="I42" s="48">
        <f>SUM(I40:I41)</f>
        <v>0</v>
      </c>
      <c r="J42" s="48">
        <f>SUM(J40:J41)</f>
        <v>0</v>
      </c>
      <c r="K42" s="48">
        <f>SUM(K40:K41)</f>
        <v>0</v>
      </c>
      <c r="L42" s="48">
        <f>SUM( $I$42:$K$42)</f>
        <v>0</v>
      </c>
      <c r="M42" s="48"/>
      <c r="N42" s="53"/>
      <c r="O42" s="53"/>
    </row>
    <row r="43" spans="2:15" ht="28" customHeight="1">
      <c r="B43" s="92"/>
      <c r="C43" s="40"/>
      <c r="D43" s="40" t="s">
        <v>5</v>
      </c>
      <c r="E43" s="41"/>
      <c r="F43" s="41"/>
      <c r="G43" s="80">
        <v>717200</v>
      </c>
      <c r="H43" s="80">
        <v>0</v>
      </c>
      <c r="I43" s="90">
        <v>0</v>
      </c>
      <c r="J43" s="90">
        <v>0</v>
      </c>
      <c r="K43" s="90">
        <v>0</v>
      </c>
      <c r="L43" s="40">
        <f>SUM( $I$43:$K$43)</f>
        <v>0</v>
      </c>
      <c r="M43" s="40"/>
      <c r="N43" s="42" t="s">
        <v>102</v>
      </c>
      <c r="O43" s="42"/>
    </row>
    <row r="44" spans="2:15" ht="32" customHeight="1">
      <c r="B44" s="91"/>
      <c r="C44" s="40"/>
      <c r="D44" s="40" t="s">
        <v>6</v>
      </c>
      <c r="E44" s="41"/>
      <c r="F44" s="41"/>
      <c r="G44" s="80">
        <v>722200</v>
      </c>
      <c r="H44" s="80">
        <v>0</v>
      </c>
      <c r="I44" s="90">
        <v>0</v>
      </c>
      <c r="J44" s="90">
        <v>0</v>
      </c>
      <c r="K44" s="90">
        <v>0</v>
      </c>
      <c r="L44" s="40">
        <f>SUM( $I$44:$K$44)</f>
        <v>0</v>
      </c>
      <c r="M44" s="40"/>
      <c r="N44" s="42" t="s">
        <v>102</v>
      </c>
      <c r="O44" s="42"/>
    </row>
    <row r="45" spans="2:15" ht="29" customHeight="1">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ht="29" customHeight="1">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2:15">
      <c r="B49" s="40"/>
      <c r="C49" s="40" t="s">
        <v>77</v>
      </c>
      <c r="D49" s="40"/>
      <c r="E49" s="41"/>
      <c r="F49" s="41"/>
      <c r="G49" s="80"/>
      <c r="H49" s="40">
        <f>H4*H48</f>
        <v>0</v>
      </c>
      <c r="I49" s="40">
        <f>I4*I48</f>
        <v>0</v>
      </c>
      <c r="J49" s="40">
        <f>J4*J48</f>
        <v>0</v>
      </c>
      <c r="K49" s="40">
        <f>K4*K48</f>
        <v>0</v>
      </c>
      <c r="L49" s="40">
        <f>SUM( $I$49:$K$49)</f>
        <v>0</v>
      </c>
      <c r="M49" s="40"/>
      <c r="N49" s="42"/>
      <c r="O49" s="42"/>
    </row>
    <row r="50" spans="2:15">
      <c r="B50" s="48"/>
      <c r="C50" s="48"/>
      <c r="D50" s="48" t="s">
        <v>196</v>
      </c>
      <c r="E50" s="49"/>
      <c r="F50" s="49"/>
      <c r="G50" s="48"/>
      <c r="H50" s="48">
        <f>SUM(H49+H47)</f>
        <v>0</v>
      </c>
      <c r="I50" s="48">
        <f>SUM(I49+I47)</f>
        <v>0</v>
      </c>
      <c r="J50" s="48">
        <f>SUM(J49+J47)</f>
        <v>0</v>
      </c>
      <c r="K50" s="48">
        <f>SUM(K49+K47)</f>
        <v>0</v>
      </c>
      <c r="L50" s="48">
        <f>SUM( $I$50:$K$50)</f>
        <v>0</v>
      </c>
      <c r="M50" s="48"/>
      <c r="N50" s="53"/>
      <c r="O50" s="53"/>
    </row>
  </sheetData>
  <sheetProtection algorithmName="SHA-512" hashValue="uZAS3juF7CQo9MC1ko/T+K5cF5F6A8oZ1lEFC1RavmGDyAzB7Ssmqn+xJvHAiHkirjdFVJTRvTqsPCdjkMCR5g==" saltValue="zgebASUD5G1+IbVuAVBR7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F30"/>
  <sheetViews>
    <sheetView showGridLines="0" workbookViewId="0">
      <selection activeCell="K6" sqref="K6"/>
    </sheetView>
  </sheetViews>
  <sheetFormatPr baseColWidth="10" defaultColWidth="8.7109375" defaultRowHeight="13" x14ac:dyDescent="0"/>
  <cols>
    <col min="1" max="1" width="11.85546875" style="172" customWidth="1"/>
    <col min="2" max="2" width="5.140625" style="172" customWidth="1"/>
    <col min="3" max="6" width="8.7109375" style="172"/>
    <col min="7" max="7" width="7" style="172" customWidth="1"/>
    <col min="8" max="16384" width="8.7109375" style="172"/>
  </cols>
  <sheetData>
    <row r="4" spans="2:6" ht="32.5" customHeight="1" thickBot="1"/>
    <row r="5" spans="2:6" ht="14" thickTop="1">
      <c r="B5" s="173"/>
      <c r="C5" s="174"/>
      <c r="D5" s="174"/>
      <c r="E5" s="174"/>
      <c r="F5" s="175"/>
    </row>
    <row r="6" spans="2:6">
      <c r="B6" s="176"/>
      <c r="F6" s="177"/>
    </row>
    <row r="7" spans="2:6">
      <c r="B7" s="176"/>
      <c r="F7" s="177"/>
    </row>
    <row r="8" spans="2:6">
      <c r="B8" s="176"/>
      <c r="F8" s="177"/>
    </row>
    <row r="9" spans="2:6">
      <c r="B9" s="176"/>
      <c r="F9" s="177"/>
    </row>
    <row r="10" spans="2:6">
      <c r="B10" s="176"/>
      <c r="F10" s="177"/>
    </row>
    <row r="11" spans="2:6">
      <c r="B11" s="176"/>
      <c r="F11" s="177"/>
    </row>
    <row r="12" spans="2:6">
      <c r="B12" s="176"/>
      <c r="F12" s="177"/>
    </row>
    <row r="13" spans="2:6">
      <c r="B13" s="176"/>
      <c r="F13" s="177"/>
    </row>
    <row r="14" spans="2:6">
      <c r="B14" s="176"/>
      <c r="F14" s="177"/>
    </row>
    <row r="15" spans="2:6">
      <c r="B15" s="176"/>
      <c r="F15" s="177"/>
    </row>
    <row r="16" spans="2:6">
      <c r="B16" s="176"/>
      <c r="F16" s="177"/>
    </row>
    <row r="17" spans="2:6">
      <c r="B17" s="176"/>
      <c r="F17" s="177"/>
    </row>
    <row r="18" spans="2:6">
      <c r="B18" s="176"/>
      <c r="F18" s="177"/>
    </row>
    <row r="19" spans="2:6">
      <c r="B19" s="176"/>
      <c r="F19" s="177"/>
    </row>
    <row r="20" spans="2:6">
      <c r="B20" s="176"/>
      <c r="F20" s="177"/>
    </row>
    <row r="21" spans="2:6">
      <c r="B21" s="176"/>
      <c r="F21" s="177"/>
    </row>
    <row r="22" spans="2:6">
      <c r="B22" s="176"/>
      <c r="F22" s="177"/>
    </row>
    <row r="23" spans="2:6">
      <c r="B23" s="176"/>
      <c r="F23" s="177"/>
    </row>
    <row r="24" spans="2:6">
      <c r="B24" s="176"/>
      <c r="F24" s="177"/>
    </row>
    <row r="25" spans="2:6">
      <c r="B25" s="176"/>
      <c r="F25" s="177"/>
    </row>
    <row r="26" spans="2:6">
      <c r="B26" s="176"/>
      <c r="F26" s="177"/>
    </row>
    <row r="27" spans="2:6">
      <c r="B27" s="176"/>
      <c r="F27" s="177"/>
    </row>
    <row r="28" spans="2:6">
      <c r="B28" s="176"/>
      <c r="F28" s="177"/>
    </row>
    <row r="29" spans="2:6" ht="14" thickBot="1">
      <c r="B29" s="178"/>
      <c r="C29" s="179"/>
      <c r="D29" s="179"/>
      <c r="E29" s="179"/>
      <c r="F29" s="180"/>
    </row>
    <row r="30" spans="2:6" ht="14" thickTop="1"/>
  </sheetData>
  <sheetProtection algorithmName="SHA-512" hashValue="+4IXB+MFoS2lkFmyT8vz2i9ejNjIphPgbhgloBaqPOmZ+UByjuyS+Crf/2n+TJKqyJRXLfJThup7DFrnyLcJmQ==" saltValue="6g4Ox8asYZDf1Rlo8uDEoQ==" spinCount="100000" sheet="1" scenarios="1" selectLockedCells="1" selectUnlockedCells="1"/>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O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2" width="11" style="25" customWidth="1"/>
    <col min="13" max="13" width="1.5703125" style="12" customWidth="1"/>
    <col min="14" max="14" width="4.5703125" style="12" customWidth="1"/>
    <col min="15" max="15" width="4.140625" style="12" customWidth="1"/>
    <col min="16" max="16" width="5.140625" style="12" customWidth="1"/>
    <col min="17" max="17" width="5.85546875" style="12" customWidth="1"/>
    <col min="18" max="18" width="3.85546875" style="12" customWidth="1"/>
    <col min="19" max="19" width="26.85546875" style="12" customWidth="1"/>
    <col min="20" max="20" width="10.140625" style="12" customWidth="1"/>
    <col min="21" max="21" width="6.5703125" style="12" customWidth="1"/>
    <col min="22" max="22" width="8.140625" style="12" customWidth="1"/>
    <col min="23" max="24" width="11" style="12" customWidth="1"/>
    <col min="25" max="25" width="1.5703125" style="12" customWidth="1"/>
    <col min="26" max="26" width="4.5703125" style="12" customWidth="1"/>
    <col min="27" max="27" width="4.140625" style="12" customWidth="1"/>
    <col min="28" max="28" width="5.140625" style="12" customWidth="1"/>
    <col min="29" max="29" width="5.85546875" style="12" customWidth="1"/>
    <col min="30" max="30" width="3.85546875" style="12" customWidth="1"/>
    <col min="31" max="31" width="26.85546875" style="12" customWidth="1"/>
    <col min="32" max="32" width="10.140625" style="12" customWidth="1"/>
    <col min="33" max="33" width="6.5703125" style="12" customWidth="1"/>
    <col min="34" max="34" width="8.140625" style="12" customWidth="1"/>
    <col min="35" max="36" width="11" style="12" customWidth="1"/>
    <col min="37" max="37" width="1.5703125" style="12" customWidth="1"/>
    <col min="38" max="38" width="4.5703125" style="12" customWidth="1"/>
    <col min="39" max="39" width="4.140625" style="12" customWidth="1"/>
    <col min="40" max="40" width="5.140625" style="12" customWidth="1"/>
    <col min="41" max="41" width="5.85546875" style="12" customWidth="1"/>
    <col min="42" max="42" width="3.85546875" style="12" customWidth="1"/>
    <col min="43" max="43" width="26.85546875" style="12" customWidth="1"/>
    <col min="44" max="44" width="10.140625" style="12" customWidth="1"/>
    <col min="45" max="45" width="6.5703125" style="12" customWidth="1"/>
    <col min="46" max="46" width="8.140625" style="12" customWidth="1"/>
    <col min="47" max="48" width="11" style="12" customWidth="1"/>
    <col min="49" max="49" width="1.5703125" style="12" customWidth="1"/>
    <col min="50" max="50" width="4.5703125" style="12" customWidth="1"/>
    <col min="51" max="51" width="4.140625" style="12" customWidth="1"/>
    <col min="52" max="52" width="5.140625" style="12" customWidth="1"/>
    <col min="53" max="53" width="5.85546875" style="12" customWidth="1"/>
    <col min="54" max="54" width="3.85546875" style="12" customWidth="1"/>
    <col min="55" max="55" width="26.85546875" style="12" customWidth="1"/>
    <col min="56" max="56" width="10.140625" style="12" customWidth="1"/>
    <col min="57" max="57" width="6.5703125" style="12" customWidth="1"/>
    <col min="58" max="58" width="8.140625" style="12" customWidth="1"/>
    <col min="59" max="60" width="11" style="12" customWidth="1"/>
    <col min="61" max="61" width="1.5703125" style="12" customWidth="1"/>
    <col min="62" max="62" width="4.5703125" style="12" customWidth="1"/>
    <col min="63" max="63" width="4.140625" style="12" customWidth="1"/>
    <col min="64" max="64" width="5.140625" style="12" customWidth="1"/>
    <col min="65" max="65" width="5.85546875" style="12" customWidth="1"/>
    <col min="66" max="66" width="3.85546875" style="12" customWidth="1"/>
    <col min="67" max="67" width="26.85546875" style="12" customWidth="1"/>
    <col min="68" max="68" width="10.140625" style="12" customWidth="1"/>
    <col min="69" max="69" width="6.5703125" style="12" customWidth="1"/>
    <col min="70" max="70" width="8.140625" style="12" customWidth="1"/>
    <col min="71" max="72" width="11" style="12" customWidth="1"/>
    <col min="73" max="73" width="1.5703125" style="12" customWidth="1"/>
    <col min="74" max="74" width="4.5703125" style="12" customWidth="1"/>
    <col min="75" max="75" width="4.140625" style="12" customWidth="1"/>
    <col min="76" max="76" width="5.140625" style="12" customWidth="1"/>
    <col min="77" max="77" width="5.85546875" style="12" customWidth="1"/>
    <col min="78" max="78" width="3.85546875" style="12" customWidth="1"/>
    <col min="79" max="79" width="26.85546875" style="12" customWidth="1"/>
    <col min="80" max="80" width="10.140625" style="12" customWidth="1"/>
    <col min="81" max="81" width="6.5703125" style="12" customWidth="1"/>
    <col min="82" max="82" width="8.140625" style="12" customWidth="1"/>
    <col min="83" max="84" width="11" style="12" customWidth="1"/>
    <col min="85" max="85" width="1.5703125" style="12" customWidth="1"/>
    <col min="86" max="86" width="4.5703125" style="12" customWidth="1"/>
    <col min="87" max="87" width="4.140625" style="12" customWidth="1"/>
    <col min="88" max="88" width="5.140625" style="12" customWidth="1"/>
    <col min="89" max="89" width="5.85546875" style="12" customWidth="1"/>
    <col min="90" max="90" width="3.85546875" style="12" customWidth="1"/>
    <col min="91" max="91" width="26.85546875" style="12" customWidth="1"/>
    <col min="92" max="92" width="10.140625" style="12" customWidth="1"/>
    <col min="93" max="93" width="6.5703125" style="12" customWidth="1"/>
    <col min="94" max="94" width="8.140625" style="12" customWidth="1"/>
    <col min="95" max="96" width="11" style="12" customWidth="1"/>
    <col min="97" max="97" width="1.5703125" style="12" customWidth="1"/>
    <col min="98" max="98" width="4.5703125" style="12" customWidth="1"/>
    <col min="99" max="99" width="4.140625" style="12" customWidth="1"/>
    <col min="100" max="100" width="5.140625" style="12" customWidth="1"/>
    <col min="101" max="101" width="5.85546875" style="12" customWidth="1"/>
    <col min="102" max="102" width="3.85546875" style="12" customWidth="1"/>
    <col min="103" max="103" width="26.85546875" style="12" customWidth="1"/>
    <col min="104" max="104" width="10.140625" style="12" customWidth="1"/>
    <col min="105" max="105" width="6.5703125" style="12" customWidth="1"/>
    <col min="106" max="106" width="8.140625" style="12" customWidth="1"/>
    <col min="107" max="108" width="11" style="12" customWidth="1"/>
    <col min="109" max="109" width="1.5703125" style="12" customWidth="1"/>
    <col min="110" max="110" width="4.5703125" style="12" customWidth="1"/>
    <col min="111" max="111" width="4.140625" style="12" customWidth="1"/>
    <col min="112" max="112" width="5.140625" style="12" customWidth="1"/>
    <col min="113" max="113" width="5.85546875" style="12" customWidth="1"/>
    <col min="114" max="114" width="3.85546875" style="12" customWidth="1"/>
    <col min="115" max="115" width="26.85546875" style="12" customWidth="1"/>
    <col min="116" max="116" width="10.140625" style="12" customWidth="1"/>
    <col min="117" max="117" width="6.5703125" style="12" customWidth="1"/>
    <col min="118" max="118" width="8.140625" style="12" customWidth="1"/>
    <col min="119" max="120" width="11" style="12" customWidth="1"/>
    <col min="121" max="121" width="1.5703125" style="12" customWidth="1"/>
    <col min="122" max="122" width="4.5703125" style="12" customWidth="1"/>
    <col min="123" max="123" width="4.140625" style="12" customWidth="1"/>
    <col min="124" max="124" width="5.140625" style="12" customWidth="1"/>
    <col min="125" max="125" width="5.85546875" style="12" customWidth="1"/>
    <col min="126" max="126" width="3.85546875" style="12" customWidth="1"/>
    <col min="127" max="127" width="26.85546875" style="12" customWidth="1"/>
    <col min="128" max="128" width="10.140625" style="12" customWidth="1"/>
    <col min="129" max="129" width="6.5703125" style="12" customWidth="1"/>
    <col min="130" max="130" width="8.140625" style="12" customWidth="1"/>
    <col min="131" max="132" width="11" style="12" customWidth="1"/>
    <col min="133" max="133" width="1.5703125" style="12" customWidth="1"/>
    <col min="134" max="134" width="4.5703125" style="12" customWidth="1"/>
    <col min="135" max="135" width="4.140625" style="12" customWidth="1"/>
    <col min="136" max="136" width="5.140625" style="12" customWidth="1"/>
    <col min="137" max="137" width="5.85546875" style="12" customWidth="1"/>
    <col min="138" max="138" width="3.85546875" style="12" customWidth="1"/>
    <col min="139" max="139" width="26.85546875" style="12" customWidth="1"/>
    <col min="140" max="140" width="10.140625" style="12" customWidth="1"/>
    <col min="141" max="141" width="6.5703125" style="12" customWidth="1"/>
    <col min="142" max="142" width="8.140625" style="12" customWidth="1"/>
    <col min="143" max="144" width="11" style="12" customWidth="1"/>
    <col min="145" max="145" width="1.5703125" style="12" customWidth="1"/>
    <col min="146" max="146" width="4.5703125" style="12" customWidth="1"/>
    <col min="147" max="147" width="4.140625" style="12" customWidth="1"/>
    <col min="148" max="148" width="5.140625" style="12" customWidth="1"/>
    <col min="149" max="149" width="5.85546875" style="12" customWidth="1"/>
    <col min="150" max="150" width="3.85546875" style="12" customWidth="1"/>
    <col min="151" max="151" width="26.85546875" style="12" customWidth="1"/>
    <col min="152" max="152" width="10.140625" style="12" customWidth="1"/>
    <col min="153" max="153" width="6.5703125" style="12" customWidth="1"/>
    <col min="154" max="154" width="8.140625" style="12" customWidth="1"/>
    <col min="155" max="156" width="11" style="12" customWidth="1"/>
    <col min="157" max="157" width="1.5703125" style="12" customWidth="1"/>
    <col min="158" max="158" width="4.5703125" style="12" customWidth="1"/>
    <col min="159" max="159" width="4.140625" style="12" customWidth="1"/>
    <col min="160" max="160" width="5.140625" style="12" customWidth="1"/>
    <col min="161" max="161" width="5.85546875" style="12" customWidth="1"/>
    <col min="162" max="162" width="3.85546875" style="12" customWidth="1"/>
    <col min="163" max="163" width="26.85546875" style="12" customWidth="1"/>
    <col min="164" max="164" width="10.140625" style="12" customWidth="1"/>
    <col min="165" max="165" width="6.5703125" style="12" customWidth="1"/>
    <col min="166" max="166" width="8.140625" style="12" customWidth="1"/>
    <col min="167" max="168" width="11" style="12" customWidth="1"/>
    <col min="169" max="169" width="1.5703125" style="12" customWidth="1"/>
    <col min="170" max="170" width="4.5703125" style="12" customWidth="1"/>
    <col min="171" max="171" width="4.140625" style="12" customWidth="1"/>
    <col min="172" max="172" width="5.140625" style="12" customWidth="1"/>
    <col min="173" max="173" width="5.85546875" style="12" customWidth="1"/>
    <col min="174" max="174" width="3.85546875" style="12" customWidth="1"/>
    <col min="175" max="175" width="26.85546875" style="12" customWidth="1"/>
    <col min="176" max="176" width="10.140625" style="12" customWidth="1"/>
    <col min="177" max="177" width="6.5703125" style="12" customWidth="1"/>
    <col min="178" max="178" width="8.140625" style="12" customWidth="1"/>
    <col min="179" max="180" width="11" style="12" customWidth="1"/>
    <col min="181" max="181" width="1.5703125" style="12" customWidth="1"/>
    <col min="182" max="182" width="4.5703125" style="12" customWidth="1"/>
    <col min="183" max="183" width="4.140625" style="12" customWidth="1"/>
    <col min="184" max="184" width="5.140625" style="12" customWidth="1"/>
    <col min="185" max="185" width="5.85546875" style="12" customWidth="1"/>
    <col min="186" max="186" width="3.85546875" style="12" customWidth="1"/>
    <col min="187" max="187" width="26.85546875" style="12" customWidth="1"/>
    <col min="188" max="188" width="10.140625" style="12" customWidth="1"/>
    <col min="189" max="189" width="6.5703125" style="12" customWidth="1"/>
    <col min="190" max="190" width="8.140625" style="12" customWidth="1"/>
    <col min="191" max="192" width="11" style="12" customWidth="1"/>
    <col min="193" max="193" width="1.5703125" style="12" customWidth="1"/>
    <col min="194" max="194" width="4.5703125" style="12" customWidth="1"/>
    <col min="195" max="195" width="4.140625" style="12" customWidth="1"/>
    <col min="196" max="196" width="5.140625" style="12" customWidth="1"/>
    <col min="197" max="197" width="5.85546875" style="12" customWidth="1"/>
    <col min="198" max="198" width="3.85546875" style="12" customWidth="1"/>
    <col min="199" max="199" width="26.85546875" style="12" customWidth="1"/>
    <col min="200" max="200" width="10.140625" style="12" customWidth="1"/>
    <col min="201" max="201" width="6.5703125" style="12" customWidth="1"/>
    <col min="202" max="202" width="8.140625" style="12" customWidth="1"/>
    <col min="203" max="204" width="11" style="12" customWidth="1"/>
    <col min="205" max="205" width="1.5703125" style="12" customWidth="1"/>
    <col min="206" max="206" width="4.5703125" style="12" customWidth="1"/>
    <col min="207" max="207" width="4.140625" style="12" customWidth="1"/>
    <col min="208" max="208" width="5.140625" style="12" customWidth="1"/>
    <col min="209" max="209" width="5.85546875" style="12" customWidth="1"/>
    <col min="210" max="210" width="3.85546875" style="12" customWidth="1"/>
    <col min="211" max="211" width="26.85546875" style="12" customWidth="1"/>
    <col min="212" max="212" width="10.140625" style="12" customWidth="1"/>
    <col min="213" max="213" width="6.5703125" style="12" customWidth="1"/>
    <col min="214" max="214" width="8.140625" style="12" customWidth="1"/>
    <col min="215" max="216" width="11" style="12" customWidth="1"/>
    <col min="217" max="217" width="1.5703125" style="12" customWidth="1"/>
    <col min="218" max="218" width="4.5703125" style="12" customWidth="1"/>
    <col min="219" max="219" width="4.140625" style="12" customWidth="1"/>
    <col min="220" max="220" width="5.140625" style="12" customWidth="1"/>
    <col min="221" max="221" width="5.85546875" style="12" customWidth="1"/>
    <col min="222" max="222" width="3.85546875" style="12" customWidth="1"/>
    <col min="223" max="223" width="26.85546875" style="12" customWidth="1"/>
    <col min="224" max="224" width="10.140625" style="12" customWidth="1"/>
    <col min="225" max="225" width="6.5703125" style="12" customWidth="1"/>
    <col min="226" max="226" width="8.140625" style="12" customWidth="1"/>
    <col min="227" max="228" width="11" style="12" customWidth="1"/>
    <col min="229" max="229" width="1.5703125" style="12" customWidth="1"/>
    <col min="230" max="230" width="4.5703125" style="12" customWidth="1"/>
    <col min="231" max="231" width="4.140625" style="12" customWidth="1"/>
    <col min="232" max="232" width="5.140625" style="12" customWidth="1"/>
    <col min="233" max="233" width="5.85546875" style="12" customWidth="1"/>
    <col min="234" max="234" width="3.85546875" style="12" customWidth="1"/>
    <col min="235" max="235" width="26.85546875" style="12" customWidth="1"/>
    <col min="236" max="236" width="10.140625" style="12" customWidth="1"/>
    <col min="237" max="237" width="6.5703125" style="12" customWidth="1"/>
    <col min="238" max="238" width="8.140625" style="12" customWidth="1"/>
    <col min="239" max="240" width="11" style="12" customWidth="1"/>
    <col min="241" max="241" width="1.5703125" style="12" customWidth="1"/>
    <col min="242" max="242" width="4.5703125" style="12" customWidth="1"/>
    <col min="243" max="243" width="4.140625" style="12" customWidth="1"/>
    <col min="244" max="244" width="5.140625" style="12" customWidth="1"/>
    <col min="245" max="245" width="5.85546875" style="12" customWidth="1"/>
    <col min="246" max="246" width="3.85546875" style="12" customWidth="1"/>
    <col min="247" max="247" width="26.85546875" style="12" customWidth="1"/>
    <col min="248" max="248" width="10.140625" style="12" customWidth="1"/>
    <col min="249" max="249" width="6.5703125" style="12" customWidth="1"/>
    <col min="250" max="250" width="8.140625" style="12" customWidth="1"/>
    <col min="251" max="252" width="11" style="12" customWidth="1"/>
    <col min="253" max="253" width="1.5703125" style="12" customWidth="1"/>
    <col min="254" max="254" width="4.5703125" style="12" customWidth="1"/>
    <col min="255" max="255" width="4.140625" style="12" customWidth="1"/>
    <col min="256" max="16384" width="5.140625" style="12"/>
  </cols>
  <sheetData>
    <row r="1" spans="1:15">
      <c r="A1" s="9" t="str">
        <f>VersionNo</f>
        <v>PropBud v1.14</v>
      </c>
    </row>
    <row r="2" spans="1:15">
      <c r="A2" s="9"/>
    </row>
    <row r="3" spans="1:15" s="3" customFormat="1">
      <c r="E3" s="28" t="s">
        <v>9</v>
      </c>
      <c r="F3" s="22" t="s">
        <v>7</v>
      </c>
      <c r="G3" s="23"/>
      <c r="H3" s="23"/>
      <c r="I3" s="4" t="s">
        <v>100</v>
      </c>
      <c r="J3" s="4"/>
      <c r="K3" s="4"/>
      <c r="L3" s="5" t="s">
        <v>59</v>
      </c>
      <c r="M3" s="5"/>
      <c r="N3" s="26" t="s">
        <v>111</v>
      </c>
      <c r="O3" s="26" t="s">
        <v>87</v>
      </c>
    </row>
    <row r="4" spans="1:15" s="3" customFormat="1">
      <c r="A4" s="6" t="s">
        <v>110</v>
      </c>
      <c r="B4" s="38">
        <f>FacInflationPct</f>
        <v>0.03</v>
      </c>
      <c r="D4" s="90"/>
      <c r="E4" s="89">
        <v>0</v>
      </c>
      <c r="F4" s="33">
        <v>0</v>
      </c>
      <c r="G4" s="24" t="s">
        <v>61</v>
      </c>
      <c r="H4" s="7">
        <f>$E4/9*$F4</f>
        <v>0</v>
      </c>
      <c r="I4" s="90">
        <f>H4*(1+$B4)</f>
        <v>0</v>
      </c>
      <c r="J4" s="90"/>
      <c r="K4" s="90"/>
      <c r="L4" s="7">
        <f>SUM(I4)</f>
        <v>0</v>
      </c>
      <c r="M4" s="7"/>
      <c r="N4" s="29" t="s">
        <v>102</v>
      </c>
      <c r="O4" s="29" t="s">
        <v>89</v>
      </c>
    </row>
    <row r="5" spans="1:15" s="3" customFormat="1">
      <c r="A5" s="6" t="s">
        <v>110</v>
      </c>
      <c r="B5" s="38">
        <f>FacInflationPct</f>
        <v>0.03</v>
      </c>
      <c r="D5" s="34"/>
      <c r="E5" s="154"/>
      <c r="F5" s="33">
        <v>0</v>
      </c>
      <c r="G5" s="24" t="s">
        <v>62</v>
      </c>
      <c r="H5" s="7">
        <f>$E4/9*$F5</f>
        <v>0</v>
      </c>
      <c r="I5" s="90">
        <f>H5*(1+$B5)</f>
        <v>0</v>
      </c>
      <c r="J5" s="90"/>
      <c r="K5" s="90"/>
      <c r="L5" s="8">
        <f>SUM(I5)</f>
        <v>0</v>
      </c>
      <c r="M5" s="8"/>
      <c r="N5" s="29" t="s">
        <v>102</v>
      </c>
      <c r="O5" s="29" t="s">
        <v>88</v>
      </c>
    </row>
    <row r="6" spans="1:15">
      <c r="E6" s="27"/>
      <c r="I6" s="12"/>
      <c r="J6" s="12"/>
      <c r="K6" s="12"/>
      <c r="L6" s="12"/>
      <c r="N6" s="25"/>
      <c r="O6" s="25"/>
    </row>
    <row r="7" spans="1:15">
      <c r="E7" s="27"/>
      <c r="I7" s="12"/>
      <c r="J7" s="12"/>
      <c r="K7" s="12"/>
      <c r="L7" s="12"/>
      <c r="N7" s="25"/>
      <c r="O7" s="25"/>
    </row>
    <row r="8" spans="1:15">
      <c r="A8" s="6" t="s">
        <v>110</v>
      </c>
      <c r="B8" s="38">
        <f>FacInflationPct</f>
        <v>0.03</v>
      </c>
      <c r="D8" s="107"/>
      <c r="E8" s="89">
        <v>0</v>
      </c>
      <c r="F8" s="33">
        <v>0</v>
      </c>
      <c r="G8" s="24" t="s">
        <v>10</v>
      </c>
      <c r="H8" s="7">
        <f>$E8/12*$F8</f>
        <v>0</v>
      </c>
      <c r="I8" s="90">
        <f>H8*(1+$B8)</f>
        <v>0</v>
      </c>
      <c r="J8" s="90"/>
      <c r="K8" s="90"/>
      <c r="L8" s="8">
        <f>SUM(I8)</f>
        <v>0</v>
      </c>
      <c r="M8" s="8"/>
      <c r="N8" s="29" t="s">
        <v>102</v>
      </c>
      <c r="O8" s="29" t="s">
        <v>89</v>
      </c>
    </row>
    <row r="10" spans="1:15">
      <c r="I10" s="64">
        <v>0</v>
      </c>
      <c r="J10" s="64"/>
      <c r="K10" s="64"/>
    </row>
    <row r="11" spans="1:15">
      <c r="C11" s="12" t="s">
        <v>79</v>
      </c>
      <c r="I11" s="90">
        <v>0</v>
      </c>
      <c r="J11" s="90">
        <v>0</v>
      </c>
      <c r="K11" s="90">
        <v>0</v>
      </c>
      <c r="L11" s="40">
        <f>SUM( I11:K11)</f>
        <v>0</v>
      </c>
    </row>
    <row r="12" spans="1:15">
      <c r="C12" s="12" t="s">
        <v>80</v>
      </c>
      <c r="I12" s="90">
        <v>0</v>
      </c>
      <c r="J12" s="90">
        <v>0</v>
      </c>
      <c r="K12" s="90">
        <v>0</v>
      </c>
      <c r="L12" s="40">
        <f>SUM( I12:K12)</f>
        <v>0</v>
      </c>
    </row>
    <row r="13" spans="1:15" ht="29" customHeight="1">
      <c r="A13" s="87"/>
      <c r="B13" s="86"/>
      <c r="C13" s="85"/>
      <c r="D13" s="85" t="s">
        <v>81</v>
      </c>
      <c r="E13" s="85"/>
      <c r="F13" s="85"/>
      <c r="G13" s="85"/>
      <c r="H13" s="85"/>
      <c r="I13" s="48">
        <f>SUM(I10:I12)</f>
        <v>0</v>
      </c>
      <c r="J13" s="48">
        <f>SUM(J10:J12)</f>
        <v>0</v>
      </c>
      <c r="K13" s="48">
        <f>SUM(K10:K12)</f>
        <v>0</v>
      </c>
      <c r="L13" s="48">
        <f>SUM( I13:K13)</f>
        <v>0</v>
      </c>
      <c r="M13" s="85"/>
      <c r="N13" s="85"/>
      <c r="O13" s="85"/>
    </row>
    <row r="18" spans="7:7">
      <c r="G18" s="88"/>
    </row>
  </sheetData>
  <sheetProtection algorithmName="SHA-512" hashValue="iyFKZ+4c7PGkmG645KB4m1ovZQkecJIRZiM6sPP+VJuqBrpXbp/iwOh94ktE161HXyyFxu9q8SyGU5eKAcIF0w==" saltValue="PjEnFWVQPGl48MmC2LHbmA==" spinCount="100000"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topLeftCell="A22" workbookViewId="0">
      <selection activeCell="J24" sqref="J24"/>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v1.14</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sheetProtection algorithmName="SHA-512" hashValue="Wp3ZbnSPMq0KMLrjtIeNAIusc7It4n0YbPTDOT5lWaZkBbG3DlAxbjw0iaZvA8Z8AABAgQQO1oZZM0JRE1wXOQ==" saltValue="+/g4iB9KCwXOBhbhHbb8Hg=="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v1.14</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Wo6qMFFQqQUanxY7Dvf4fVugLidvo0qQaWaOsy6WKsATaCQY0sDv+03XPcIFC23gQqfNd6ZQmdT1JxWlWQwl9w==" saltValue="07p3z6kNY1zlmx5Lno+dow=="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0"/>
  <sheetViews>
    <sheetView workbookViewId="0"/>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ht="26">
      <c r="A1" t="str">
        <f>VersionNo</f>
        <v>PropBud v1.14</v>
      </c>
      <c r="B1" s="164">
        <v>41781</v>
      </c>
      <c r="C1" s="163" t="s">
        <v>185</v>
      </c>
    </row>
    <row r="2" spans="1:3" ht="17" customHeight="1">
      <c r="A2" t="s">
        <v>182</v>
      </c>
      <c r="B2" s="164">
        <v>41712</v>
      </c>
      <c r="C2" s="163" t="s">
        <v>183</v>
      </c>
    </row>
    <row r="3" spans="1:3">
      <c r="A3" t="s">
        <v>179</v>
      </c>
      <c r="B3" s="164">
        <v>41309</v>
      </c>
      <c r="C3" s="163" t="s">
        <v>180</v>
      </c>
    </row>
    <row r="4" spans="1:3">
      <c r="A4" t="s">
        <v>181</v>
      </c>
      <c r="B4" s="164">
        <v>40695</v>
      </c>
      <c r="C4" s="163" t="s">
        <v>178</v>
      </c>
    </row>
    <row r="5" spans="1:3">
      <c r="A5" s="169" t="s">
        <v>177</v>
      </c>
      <c r="B5" s="164">
        <v>40312</v>
      </c>
      <c r="C5" s="163" t="s">
        <v>178</v>
      </c>
    </row>
    <row r="6" spans="1:3" ht="52">
      <c r="A6" t="s">
        <v>175</v>
      </c>
      <c r="B6" s="170">
        <v>40190</v>
      </c>
      <c r="C6" s="171" t="s">
        <v>176</v>
      </c>
    </row>
    <row r="7" spans="1:3">
      <c r="A7" t="s">
        <v>172</v>
      </c>
      <c r="B7" s="164">
        <v>39976</v>
      </c>
      <c r="C7" s="163" t="s">
        <v>171</v>
      </c>
    </row>
    <row r="8" spans="1:3">
      <c r="A8" t="s">
        <v>167</v>
      </c>
      <c r="B8" s="164">
        <v>39973</v>
      </c>
      <c r="C8" s="163" t="s">
        <v>170</v>
      </c>
    </row>
    <row r="9" spans="1:3">
      <c r="A9" t="s">
        <v>165</v>
      </c>
      <c r="B9" s="164">
        <v>39955</v>
      </c>
      <c r="C9" s="163" t="s">
        <v>169</v>
      </c>
    </row>
    <row r="10" spans="1:3" ht="39">
      <c r="A10" t="s">
        <v>168</v>
      </c>
      <c r="B10" s="164">
        <v>39659</v>
      </c>
      <c r="C10" s="163" t="s">
        <v>164</v>
      </c>
    </row>
  </sheetData>
  <sheetProtection algorithmName="SHA-512" hashValue="n5uUbj3cFFobkQbMozvVttUo6Xnwo9gv5WNg/YrDo+MG4ZGWjXBWfwJfilZoGLKpSk75JZgNgjS/0oXNx4SSJg==" saltValue="VyOAN0KEMB2BYb6ygSCkNg==" spinCount="100000" sheet="1" objects="1" scenario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2014-09-25T18:23:49Z</cp:lastPrinted>
  <dcterms:created xsi:type="dcterms:W3CDTF">1999-04-07T14:50:22Z</dcterms:created>
  <dcterms:modified xsi:type="dcterms:W3CDTF">2015-02-15T15:16:09Z</dcterms:modified>
</cp:coreProperties>
</file>